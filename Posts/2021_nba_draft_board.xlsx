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5"/>
  <workbookPr autoCompressPictures="0" defaultThemeVersion="166925"/>
  <mc:AlternateContent xmlns:mc="http://schemas.openxmlformats.org/markup-compatibility/2006">
    <mc:Choice Requires="x15">
      <x15ac:absPath xmlns:x15ac="http://schemas.microsoft.com/office/spreadsheetml/2010/11/ac" url="/Users/connorreed/Dropbox/Desktop_Files/Work_Things/connor-r.github.io/Posts/"/>
    </mc:Choice>
  </mc:AlternateContent>
  <xr:revisionPtr revIDLastSave="0" documentId="13_ncr:1_{F3422629-AFBF-E543-833A-29F7B0512E8C}" xr6:coauthVersionLast="43" xr6:coauthVersionMax="43" xr10:uidLastSave="{00000000-0000-0000-0000-000000000000}"/>
  <bookViews>
    <workbookView xWindow="1060" yWindow="460" windowWidth="26080" windowHeight="17540" xr2:uid="{00000000-000D-0000-FFFF-FFFF00000000}"/>
  </bookViews>
  <sheets>
    <sheet name="board" sheetId="1" r:id="rId1"/>
    <sheet name="measureables" sheetId="2" r:id="rId2"/>
    <sheet name="actual" sheetId="4" r:id="rId3"/>
  </sheets>
  <definedNames>
    <definedName name="_xlnm._FilterDatabase" localSheetId="2" hidden="1">actual!$A$1:$H$61</definedName>
    <definedName name="_xlnm._FilterDatabase" localSheetId="0" hidden="1">board!$A$2:$AN$80</definedName>
    <definedName name="_xlnm._FilterDatabase" localSheetId="1" hidden="1">measureables!$A$1:$J$1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R39" i="1" l="1"/>
  <c r="R36" i="1"/>
  <c r="R35" i="1"/>
  <c r="R38" i="1"/>
  <c r="R40" i="1"/>
  <c r="R42" i="1"/>
  <c r="R37" i="1"/>
  <c r="R41" i="1"/>
  <c r="R27" i="1"/>
  <c r="R29" i="1"/>
  <c r="R31" i="1"/>
  <c r="R32" i="1"/>
  <c r="R28" i="1"/>
  <c r="R23" i="1"/>
  <c r="R33" i="1"/>
  <c r="R25" i="1"/>
  <c r="R24" i="1"/>
  <c r="R30" i="1"/>
  <c r="R26" i="1"/>
  <c r="R34" i="1"/>
  <c r="R17" i="1"/>
  <c r="R19" i="1"/>
  <c r="R18" i="1"/>
  <c r="R16" i="1"/>
  <c r="R21" i="1"/>
  <c r="R20" i="1"/>
  <c r="R22" i="1"/>
  <c r="R15" i="1"/>
  <c r="R14" i="1"/>
  <c r="R13" i="1"/>
  <c r="R10" i="1"/>
  <c r="R12" i="1"/>
  <c r="R9" i="1"/>
  <c r="R11" i="1"/>
  <c r="R5" i="1"/>
  <c r="R6" i="1"/>
  <c r="R8" i="1"/>
  <c r="R7" i="1"/>
  <c r="AA3" i="1" l="1"/>
  <c r="V27" i="1"/>
  <c r="X27" i="1"/>
  <c r="R3" i="1"/>
  <c r="V28" i="1"/>
  <c r="W6" i="1" l="1"/>
  <c r="V68" i="1" l="1"/>
  <c r="V60" i="1"/>
  <c r="V46" i="1"/>
  <c r="V79" i="1"/>
  <c r="V57" i="1"/>
  <c r="V76" i="1"/>
  <c r="V62" i="1"/>
  <c r="V51" i="1"/>
  <c r="V80" i="1"/>
  <c r="V67" i="1"/>
  <c r="V70" i="1"/>
  <c r="V55" i="1"/>
  <c r="V77" i="1"/>
  <c r="V69" i="1"/>
  <c r="V63" i="1"/>
  <c r="V78" i="1"/>
  <c r="V71" i="1"/>
  <c r="V53" i="1"/>
  <c r="V59" i="1"/>
  <c r="V72" i="1"/>
  <c r="V75" i="1"/>
  <c r="V54" i="1"/>
  <c r="V66" i="1"/>
  <c r="V52" i="1"/>
  <c r="V48" i="1"/>
  <c r="V50" i="1"/>
  <c r="V56" i="1"/>
  <c r="V31" i="1"/>
  <c r="V40" i="1"/>
  <c r="V37" i="1"/>
  <c r="V42" i="1"/>
  <c r="V23" i="1"/>
  <c r="V41" i="1"/>
  <c r="V39" i="1"/>
  <c r="V36" i="1"/>
  <c r="V24" i="1"/>
  <c r="V29" i="1"/>
  <c r="V34" i="1"/>
  <c r="V26" i="1"/>
  <c r="V21" i="1"/>
  <c r="V19" i="1"/>
  <c r="V22" i="1"/>
  <c r="V20" i="1"/>
  <c r="V16" i="1"/>
  <c r="V33" i="1"/>
  <c r="V13" i="1"/>
  <c r="V15" i="1"/>
  <c r="V12" i="1"/>
  <c r="V9" i="1"/>
  <c r="V11" i="1"/>
  <c r="V6" i="1"/>
  <c r="V8" i="1"/>
  <c r="V7" i="1"/>
  <c r="V4" i="1"/>
  <c r="V3" i="1"/>
  <c r="AN3" i="1"/>
  <c r="AN4" i="1"/>
  <c r="AN7" i="1"/>
  <c r="AN8" i="1"/>
  <c r="AN5" i="1"/>
  <c r="AN6" i="1"/>
  <c r="AN11" i="1"/>
  <c r="AN10" i="1"/>
  <c r="AN9" i="1"/>
  <c r="AN12" i="1"/>
  <c r="AN15" i="1"/>
  <c r="AN14" i="1"/>
  <c r="AN13" i="1"/>
  <c r="W3" i="1" l="1"/>
  <c r="AK28" i="1" l="1"/>
  <c r="AA60" i="1" l="1"/>
  <c r="AA57" i="1"/>
  <c r="AA68" i="1"/>
  <c r="AA73" i="1"/>
  <c r="AA46" i="1"/>
  <c r="AA79" i="1"/>
  <c r="AA61" i="1"/>
  <c r="AA76" i="1"/>
  <c r="AA64" i="1"/>
  <c r="AA62" i="1"/>
  <c r="AA51" i="1"/>
  <c r="AA55" i="1"/>
  <c r="AA69" i="1"/>
  <c r="AA80" i="1"/>
  <c r="AA67" i="1"/>
  <c r="AA70" i="1"/>
  <c r="AA58" i="1"/>
  <c r="AA74" i="1"/>
  <c r="AA71" i="1"/>
  <c r="AA44" i="1"/>
  <c r="AA63" i="1"/>
  <c r="AA72" i="1"/>
  <c r="AA77" i="1"/>
  <c r="AA43" i="1"/>
  <c r="AA66" i="1"/>
  <c r="AA59" i="1"/>
  <c r="AA75" i="1"/>
  <c r="AA65" i="1"/>
  <c r="AA48" i="1"/>
  <c r="AA53" i="1"/>
  <c r="AA78" i="1"/>
  <c r="AA31" i="1"/>
  <c r="AA54" i="1"/>
  <c r="AA50" i="1"/>
  <c r="AA52" i="1"/>
  <c r="AA40" i="1"/>
  <c r="AA49" i="1"/>
  <c r="AA37" i="1"/>
  <c r="AA47" i="1"/>
  <c r="AA35" i="1"/>
  <c r="AA42" i="1"/>
  <c r="AA41" i="1"/>
  <c r="AA56" i="1"/>
  <c r="AA45" i="1"/>
  <c r="AA32" i="1"/>
  <c r="AA18" i="1"/>
  <c r="AA39" i="1"/>
  <c r="AA23" i="1"/>
  <c r="AA38" i="1"/>
  <c r="AA24" i="1"/>
  <c r="AA36" i="1"/>
  <c r="AA26" i="1"/>
  <c r="AA34" i="1"/>
  <c r="AA21" i="1"/>
  <c r="AA29" i="1"/>
  <c r="AA27" i="1"/>
  <c r="AA25" i="1"/>
  <c r="AA19" i="1"/>
  <c r="AA30" i="1"/>
  <c r="AA28" i="1"/>
  <c r="AA16" i="1"/>
  <c r="AA22" i="1"/>
  <c r="AA13" i="1"/>
  <c r="AA14" i="1"/>
  <c r="AA20" i="1"/>
  <c r="AA17" i="1"/>
  <c r="AA33" i="1"/>
  <c r="AA15" i="1"/>
  <c r="AA12" i="1"/>
  <c r="AA9" i="1"/>
  <c r="AA6" i="1"/>
  <c r="AA11" i="1"/>
  <c r="AA10" i="1"/>
  <c r="AA7" i="1"/>
  <c r="AA5" i="1"/>
  <c r="AA8" i="1"/>
  <c r="AA4" i="1"/>
  <c r="AN60" i="1"/>
  <c r="I60" i="1" s="1"/>
  <c r="AM60" i="1"/>
  <c r="H60" i="1" s="1"/>
  <c r="AL60" i="1"/>
  <c r="G60" i="1" s="1"/>
  <c r="AK60" i="1"/>
  <c r="F60" i="1" s="1"/>
  <c r="X60" i="1"/>
  <c r="W60" i="1"/>
  <c r="E60" i="1"/>
  <c r="U60" i="1"/>
  <c r="T60" i="1"/>
  <c r="AN57" i="1"/>
  <c r="I57" i="1" s="1"/>
  <c r="AM57" i="1"/>
  <c r="H57" i="1" s="1"/>
  <c r="AL57" i="1"/>
  <c r="G57" i="1" s="1"/>
  <c r="AK57" i="1"/>
  <c r="F57" i="1" s="1"/>
  <c r="W57" i="1"/>
  <c r="E57" i="1"/>
  <c r="U57" i="1"/>
  <c r="T57" i="1"/>
  <c r="AN43" i="1"/>
  <c r="I43" i="1" s="1"/>
  <c r="AM43" i="1"/>
  <c r="H43" i="1" s="1"/>
  <c r="AL43" i="1"/>
  <c r="G43" i="1" s="1"/>
  <c r="AK43" i="1"/>
  <c r="F43" i="1" s="1"/>
  <c r="X43" i="1"/>
  <c r="W43" i="1"/>
  <c r="E43" i="1"/>
  <c r="U43" i="1"/>
  <c r="T43" i="1"/>
  <c r="AN64" i="1"/>
  <c r="I64" i="1" s="1"/>
  <c r="AM64" i="1"/>
  <c r="H64" i="1" s="1"/>
  <c r="AL64" i="1"/>
  <c r="G64" i="1" s="1"/>
  <c r="AK64" i="1"/>
  <c r="F64" i="1" s="1"/>
  <c r="W64" i="1"/>
  <c r="E64" i="1"/>
  <c r="U64" i="1"/>
  <c r="T64" i="1"/>
  <c r="AN63" i="1"/>
  <c r="I63" i="1" s="1"/>
  <c r="AM63" i="1"/>
  <c r="H63" i="1" s="1"/>
  <c r="AL63" i="1"/>
  <c r="G63" i="1" s="1"/>
  <c r="AK63" i="1"/>
  <c r="F63" i="1" s="1"/>
  <c r="X63" i="1"/>
  <c r="W63" i="1"/>
  <c r="E63" i="1"/>
  <c r="U63" i="1"/>
  <c r="T63" i="1"/>
  <c r="AN59" i="1"/>
  <c r="I59" i="1" s="1"/>
  <c r="AM59" i="1"/>
  <c r="H59" i="1" s="1"/>
  <c r="AL59" i="1"/>
  <c r="G59" i="1" s="1"/>
  <c r="AK59" i="1"/>
  <c r="F59" i="1" s="1"/>
  <c r="X59" i="1"/>
  <c r="W59" i="1"/>
  <c r="E59" i="1"/>
  <c r="U59" i="1"/>
  <c r="T59" i="1"/>
  <c r="AN69" i="1"/>
  <c r="I69" i="1" s="1"/>
  <c r="AM69" i="1"/>
  <c r="H69" i="1" s="1"/>
  <c r="AL69" i="1"/>
  <c r="G69" i="1" s="1"/>
  <c r="AK69" i="1"/>
  <c r="F69" i="1" s="1"/>
  <c r="W69" i="1"/>
  <c r="E69" i="1"/>
  <c r="U69" i="1"/>
  <c r="T69" i="1"/>
  <c r="AN50" i="1"/>
  <c r="I50" i="1" s="1"/>
  <c r="AM50" i="1"/>
  <c r="H50" i="1" s="1"/>
  <c r="AL50" i="1"/>
  <c r="G50" i="1" s="1"/>
  <c r="AK50" i="1"/>
  <c r="F50" i="1" s="1"/>
  <c r="X50" i="1"/>
  <c r="W50" i="1"/>
  <c r="E50" i="1"/>
  <c r="U50" i="1"/>
  <c r="T50" i="1"/>
  <c r="AN37" i="1"/>
  <c r="I37" i="1" s="1"/>
  <c r="AM37" i="1"/>
  <c r="H37" i="1" s="1"/>
  <c r="AL37" i="1"/>
  <c r="G37" i="1" s="1"/>
  <c r="AK37" i="1"/>
  <c r="F37" i="1" s="1"/>
  <c r="X37" i="1"/>
  <c r="W37" i="1"/>
  <c r="E37" i="1"/>
  <c r="U37" i="1"/>
  <c r="T37" i="1"/>
  <c r="AN34" i="1"/>
  <c r="I34" i="1" s="1"/>
  <c r="AM34" i="1"/>
  <c r="H34" i="1" s="1"/>
  <c r="AL34" i="1"/>
  <c r="G34" i="1" s="1"/>
  <c r="AK34" i="1"/>
  <c r="F34" i="1" s="1"/>
  <c r="X34" i="1"/>
  <c r="W34" i="1"/>
  <c r="E34" i="1"/>
  <c r="U34" i="1"/>
  <c r="T34" i="1"/>
  <c r="AN20" i="1"/>
  <c r="I20" i="1" s="1"/>
  <c r="AM20" i="1"/>
  <c r="H20" i="1" s="1"/>
  <c r="AL20" i="1"/>
  <c r="G20" i="1" s="1"/>
  <c r="AK20" i="1"/>
  <c r="F20" i="1" s="1"/>
  <c r="X20" i="1"/>
  <c r="W20" i="1"/>
  <c r="E20" i="1"/>
  <c r="U20" i="1"/>
  <c r="T20" i="1"/>
  <c r="AM9" i="1"/>
  <c r="H9" i="1" s="1"/>
  <c r="AL9" i="1"/>
  <c r="G9" i="1" s="1"/>
  <c r="AK9" i="1"/>
  <c r="F9" i="1" s="1"/>
  <c r="X9" i="1"/>
  <c r="W9" i="1"/>
  <c r="E9" i="1"/>
  <c r="U9" i="1"/>
  <c r="T9" i="1"/>
  <c r="AM6" i="1"/>
  <c r="H6" i="1" s="1"/>
  <c r="AL6" i="1"/>
  <c r="G6" i="1" s="1"/>
  <c r="AK6" i="1"/>
  <c r="F6" i="1" s="1"/>
  <c r="X6" i="1"/>
  <c r="E6" i="1"/>
  <c r="U6" i="1"/>
  <c r="T6" i="1"/>
  <c r="AM8" i="1"/>
  <c r="H8" i="1" s="1"/>
  <c r="AL8" i="1"/>
  <c r="G8" i="1" s="1"/>
  <c r="AK8" i="1"/>
  <c r="F8" i="1" s="1"/>
  <c r="X8" i="1"/>
  <c r="W8" i="1"/>
  <c r="E8" i="1"/>
  <c r="U8" i="1"/>
  <c r="T8" i="1"/>
  <c r="AM11" i="1"/>
  <c r="H11" i="1" s="1"/>
  <c r="AL11" i="1"/>
  <c r="G11" i="1" s="1"/>
  <c r="AK11" i="1"/>
  <c r="F11" i="1" s="1"/>
  <c r="X11" i="1"/>
  <c r="W11" i="1"/>
  <c r="E11" i="1"/>
  <c r="U11" i="1"/>
  <c r="T11" i="1"/>
  <c r="W27" i="1"/>
  <c r="W45" i="1"/>
  <c r="W4" i="1"/>
  <c r="W10" i="1"/>
  <c r="W25" i="1"/>
  <c r="W5" i="1"/>
  <c r="W28" i="1"/>
  <c r="W68" i="1"/>
  <c r="W36" i="1"/>
  <c r="W41" i="1"/>
  <c r="W54" i="1"/>
  <c r="W55" i="1"/>
  <c r="W17" i="1"/>
  <c r="W19" i="1"/>
  <c r="W79" i="1"/>
  <c r="W14" i="1"/>
  <c r="W62" i="1"/>
  <c r="W29" i="1"/>
  <c r="W39" i="1"/>
  <c r="W46" i="1"/>
  <c r="W70" i="1"/>
  <c r="W16" i="1"/>
  <c r="W42" i="1"/>
  <c r="W15" i="1"/>
  <c r="W75" i="1"/>
  <c r="W40" i="1"/>
  <c r="W72" i="1"/>
  <c r="W38" i="1"/>
  <c r="W26" i="1"/>
  <c r="W53" i="1"/>
  <c r="W21" i="1"/>
  <c r="W24" i="1"/>
  <c r="W33" i="1"/>
  <c r="W35" i="1"/>
  <c r="W13" i="1"/>
  <c r="W23" i="1"/>
  <c r="W48" i="1"/>
  <c r="W56" i="1"/>
  <c r="W22" i="1"/>
  <c r="W12" i="1"/>
  <c r="W76" i="1"/>
  <c r="W49" i="1"/>
  <c r="W31" i="1"/>
  <c r="W67" i="1"/>
  <c r="W80" i="1"/>
  <c r="W52" i="1"/>
  <c r="W77" i="1"/>
  <c r="W51" i="1"/>
  <c r="W78" i="1"/>
  <c r="W71" i="1"/>
  <c r="W44" i="1"/>
  <c r="W66" i="1"/>
  <c r="W7" i="1"/>
  <c r="AN27" i="1"/>
  <c r="I27" i="1" s="1"/>
  <c r="AM27" i="1"/>
  <c r="H27" i="1" s="1"/>
  <c r="AL27" i="1"/>
  <c r="G27" i="1" s="1"/>
  <c r="AK27" i="1"/>
  <c r="F27" i="1" s="1"/>
  <c r="E27" i="1"/>
  <c r="U27" i="1"/>
  <c r="T27" i="1"/>
  <c r="AN45" i="1"/>
  <c r="I45" i="1" s="1"/>
  <c r="AM45" i="1"/>
  <c r="H45" i="1" s="1"/>
  <c r="AL45" i="1"/>
  <c r="G45" i="1" s="1"/>
  <c r="AK45" i="1"/>
  <c r="F45" i="1" s="1"/>
  <c r="E45" i="1"/>
  <c r="U45" i="1"/>
  <c r="T45" i="1"/>
  <c r="AM4" i="1"/>
  <c r="H4" i="1" s="1"/>
  <c r="AL4" i="1"/>
  <c r="G4" i="1" s="1"/>
  <c r="AK4" i="1"/>
  <c r="F4" i="1" s="1"/>
  <c r="X4" i="1"/>
  <c r="E4" i="1"/>
  <c r="U4" i="1"/>
  <c r="T4" i="1"/>
  <c r="AM10" i="1"/>
  <c r="H10" i="1" s="1"/>
  <c r="AL10" i="1"/>
  <c r="G10" i="1" s="1"/>
  <c r="AK10" i="1"/>
  <c r="F10" i="1" s="1"/>
  <c r="X10" i="1"/>
  <c r="E10" i="1"/>
  <c r="U10" i="1"/>
  <c r="T10" i="1"/>
  <c r="AN25" i="1"/>
  <c r="I25" i="1" s="1"/>
  <c r="AM25" i="1"/>
  <c r="H25" i="1" s="1"/>
  <c r="AL25" i="1"/>
  <c r="G25" i="1" s="1"/>
  <c r="AK25" i="1"/>
  <c r="F25" i="1" s="1"/>
  <c r="X25" i="1"/>
  <c r="E25" i="1"/>
  <c r="U25" i="1"/>
  <c r="T25" i="1"/>
  <c r="AM5" i="1"/>
  <c r="H5" i="1" s="1"/>
  <c r="AL5" i="1"/>
  <c r="G5" i="1" s="1"/>
  <c r="AK5" i="1"/>
  <c r="F5" i="1" s="1"/>
  <c r="X5" i="1"/>
  <c r="E5" i="1"/>
  <c r="U5" i="1"/>
  <c r="T5" i="1"/>
  <c r="AM3" i="1"/>
  <c r="H3" i="1" s="1"/>
  <c r="AL3" i="1"/>
  <c r="G3" i="1" s="1"/>
  <c r="AK3" i="1"/>
  <c r="F3" i="1" s="1"/>
  <c r="X3" i="1"/>
  <c r="E3" i="1"/>
  <c r="U3" i="1"/>
  <c r="T3" i="1"/>
  <c r="AN28" i="1"/>
  <c r="I28" i="1" s="1"/>
  <c r="AM28" i="1"/>
  <c r="H28" i="1" s="1"/>
  <c r="AL28" i="1"/>
  <c r="G28" i="1" s="1"/>
  <c r="F28" i="1"/>
  <c r="X28" i="1"/>
  <c r="E28" i="1"/>
  <c r="U28" i="1"/>
  <c r="T28" i="1"/>
  <c r="AN68" i="1"/>
  <c r="I68" i="1" s="1"/>
  <c r="AM68" i="1"/>
  <c r="H68" i="1" s="1"/>
  <c r="AL68" i="1"/>
  <c r="G68" i="1" s="1"/>
  <c r="AK68" i="1"/>
  <c r="F68" i="1" s="1"/>
  <c r="X68" i="1"/>
  <c r="E68" i="1"/>
  <c r="U68" i="1"/>
  <c r="T68" i="1"/>
  <c r="AN36" i="1"/>
  <c r="I36" i="1" s="1"/>
  <c r="AM36" i="1"/>
  <c r="H36" i="1" s="1"/>
  <c r="AL36" i="1"/>
  <c r="G36" i="1" s="1"/>
  <c r="AK36" i="1"/>
  <c r="F36" i="1" s="1"/>
  <c r="X36" i="1"/>
  <c r="E36" i="1"/>
  <c r="U36" i="1"/>
  <c r="T36" i="1"/>
  <c r="AN41" i="1"/>
  <c r="I41" i="1" s="1"/>
  <c r="AM41" i="1"/>
  <c r="H41" i="1" s="1"/>
  <c r="AL41" i="1"/>
  <c r="G41" i="1" s="1"/>
  <c r="AK41" i="1"/>
  <c r="F41" i="1" s="1"/>
  <c r="X41" i="1"/>
  <c r="E41" i="1"/>
  <c r="U41" i="1"/>
  <c r="T41" i="1"/>
  <c r="AN54" i="1"/>
  <c r="I54" i="1" s="1"/>
  <c r="AM54" i="1"/>
  <c r="H54" i="1" s="1"/>
  <c r="AL54" i="1"/>
  <c r="G54" i="1" s="1"/>
  <c r="AK54" i="1"/>
  <c r="F54" i="1" s="1"/>
  <c r="X54" i="1"/>
  <c r="E54" i="1"/>
  <c r="U54" i="1"/>
  <c r="T54" i="1"/>
  <c r="AN55" i="1"/>
  <c r="I55" i="1" s="1"/>
  <c r="AM55" i="1"/>
  <c r="H55" i="1" s="1"/>
  <c r="AL55" i="1"/>
  <c r="G55" i="1" s="1"/>
  <c r="AK55" i="1"/>
  <c r="F55" i="1" s="1"/>
  <c r="E55" i="1"/>
  <c r="U55" i="1"/>
  <c r="T55" i="1"/>
  <c r="AN17" i="1"/>
  <c r="I17" i="1" s="1"/>
  <c r="AM17" i="1"/>
  <c r="H17" i="1" s="1"/>
  <c r="AL17" i="1"/>
  <c r="G17" i="1" s="1"/>
  <c r="AK17" i="1"/>
  <c r="F17" i="1" s="1"/>
  <c r="X17" i="1"/>
  <c r="E17" i="1"/>
  <c r="U17" i="1"/>
  <c r="T17" i="1"/>
  <c r="AN19" i="1"/>
  <c r="I19" i="1" s="1"/>
  <c r="AM19" i="1"/>
  <c r="H19" i="1" s="1"/>
  <c r="AL19" i="1"/>
  <c r="G19" i="1" s="1"/>
  <c r="AK19" i="1"/>
  <c r="F19" i="1" s="1"/>
  <c r="X19" i="1"/>
  <c r="E19" i="1"/>
  <c r="U19" i="1"/>
  <c r="T19" i="1"/>
  <c r="AN79" i="1"/>
  <c r="I79" i="1" s="1"/>
  <c r="AM79" i="1"/>
  <c r="H79" i="1" s="1"/>
  <c r="AL79" i="1"/>
  <c r="G79" i="1" s="1"/>
  <c r="AK79" i="1"/>
  <c r="F79" i="1" s="1"/>
  <c r="X79" i="1"/>
  <c r="E79" i="1"/>
  <c r="U79" i="1"/>
  <c r="T79" i="1"/>
  <c r="AM14" i="1"/>
  <c r="H14" i="1" s="1"/>
  <c r="AL14" i="1"/>
  <c r="G14" i="1" s="1"/>
  <c r="AK14" i="1"/>
  <c r="F14" i="1" s="1"/>
  <c r="X14" i="1"/>
  <c r="E14" i="1"/>
  <c r="U14" i="1"/>
  <c r="T14" i="1"/>
  <c r="AN62" i="1"/>
  <c r="I62" i="1" s="1"/>
  <c r="AM62" i="1"/>
  <c r="H62" i="1" s="1"/>
  <c r="AL62" i="1"/>
  <c r="G62" i="1" s="1"/>
  <c r="AK62" i="1"/>
  <c r="F62" i="1" s="1"/>
  <c r="X62" i="1"/>
  <c r="E62" i="1"/>
  <c r="U62" i="1"/>
  <c r="T62" i="1"/>
  <c r="AN29" i="1"/>
  <c r="I29" i="1" s="1"/>
  <c r="AM29" i="1"/>
  <c r="H29" i="1" s="1"/>
  <c r="AL29" i="1"/>
  <c r="G29" i="1" s="1"/>
  <c r="AK29" i="1"/>
  <c r="F29" i="1" s="1"/>
  <c r="X29" i="1"/>
  <c r="E29" i="1"/>
  <c r="U29" i="1"/>
  <c r="T29" i="1"/>
  <c r="AN39" i="1"/>
  <c r="I39" i="1" s="1"/>
  <c r="AM39" i="1"/>
  <c r="H39" i="1" s="1"/>
  <c r="AL39" i="1"/>
  <c r="G39" i="1" s="1"/>
  <c r="AK39" i="1"/>
  <c r="F39" i="1" s="1"/>
  <c r="X39" i="1"/>
  <c r="E39" i="1"/>
  <c r="U39" i="1"/>
  <c r="T39" i="1"/>
  <c r="AN46" i="1"/>
  <c r="I46" i="1" s="1"/>
  <c r="AM46" i="1"/>
  <c r="H46" i="1" s="1"/>
  <c r="AL46" i="1"/>
  <c r="G46" i="1" s="1"/>
  <c r="AK46" i="1"/>
  <c r="F46" i="1" s="1"/>
  <c r="X46" i="1"/>
  <c r="E46" i="1"/>
  <c r="U46" i="1"/>
  <c r="T46" i="1"/>
  <c r="AN70" i="1"/>
  <c r="I70" i="1" s="1"/>
  <c r="AM70" i="1"/>
  <c r="H70" i="1" s="1"/>
  <c r="AL70" i="1"/>
  <c r="G70" i="1" s="1"/>
  <c r="AK70" i="1"/>
  <c r="F70" i="1" s="1"/>
  <c r="X70" i="1"/>
  <c r="E70" i="1"/>
  <c r="U70" i="1"/>
  <c r="T70" i="1"/>
  <c r="AN16" i="1"/>
  <c r="I16" i="1" s="1"/>
  <c r="AM16" i="1"/>
  <c r="H16" i="1" s="1"/>
  <c r="AL16" i="1"/>
  <c r="G16" i="1" s="1"/>
  <c r="AK16" i="1"/>
  <c r="F16" i="1" s="1"/>
  <c r="X16" i="1"/>
  <c r="E16" i="1"/>
  <c r="U16" i="1"/>
  <c r="T16" i="1"/>
  <c r="AN61" i="1"/>
  <c r="I61" i="1" s="1"/>
  <c r="AM61" i="1"/>
  <c r="H61" i="1" s="1"/>
  <c r="AL61" i="1"/>
  <c r="G61" i="1" s="1"/>
  <c r="AK61" i="1"/>
  <c r="F61" i="1" s="1"/>
  <c r="E61" i="1"/>
  <c r="U61" i="1"/>
  <c r="T61" i="1"/>
  <c r="AN42" i="1"/>
  <c r="I42" i="1" s="1"/>
  <c r="AM42" i="1"/>
  <c r="H42" i="1" s="1"/>
  <c r="AL42" i="1"/>
  <c r="G42" i="1" s="1"/>
  <c r="AK42" i="1"/>
  <c r="F42" i="1" s="1"/>
  <c r="X42" i="1"/>
  <c r="E42" i="1"/>
  <c r="U42" i="1"/>
  <c r="T42" i="1"/>
  <c r="AM15" i="1"/>
  <c r="H15" i="1" s="1"/>
  <c r="AL15" i="1"/>
  <c r="G15" i="1" s="1"/>
  <c r="AK15" i="1"/>
  <c r="F15" i="1" s="1"/>
  <c r="X15" i="1"/>
  <c r="E15" i="1"/>
  <c r="U15" i="1"/>
  <c r="T15" i="1"/>
  <c r="AN47" i="1"/>
  <c r="I47" i="1" s="1"/>
  <c r="AM47" i="1"/>
  <c r="H47" i="1" s="1"/>
  <c r="AL47" i="1"/>
  <c r="G47" i="1" s="1"/>
  <c r="AK47" i="1"/>
  <c r="F47" i="1" s="1"/>
  <c r="E47" i="1"/>
  <c r="U47" i="1"/>
  <c r="T47" i="1"/>
  <c r="AN75" i="1"/>
  <c r="I75" i="1" s="1"/>
  <c r="AM75" i="1"/>
  <c r="H75" i="1" s="1"/>
  <c r="AL75" i="1"/>
  <c r="G75" i="1" s="1"/>
  <c r="AK75" i="1"/>
  <c r="F75" i="1" s="1"/>
  <c r="X75" i="1"/>
  <c r="E75" i="1"/>
  <c r="U75" i="1"/>
  <c r="T75" i="1"/>
  <c r="AN73" i="1"/>
  <c r="I73" i="1" s="1"/>
  <c r="AM73" i="1"/>
  <c r="H73" i="1" s="1"/>
  <c r="AL73" i="1"/>
  <c r="G73" i="1" s="1"/>
  <c r="AK73" i="1"/>
  <c r="F73" i="1" s="1"/>
  <c r="E73" i="1"/>
  <c r="U73" i="1"/>
  <c r="T73" i="1"/>
  <c r="AN40" i="1"/>
  <c r="I40" i="1" s="1"/>
  <c r="AM40" i="1"/>
  <c r="H40" i="1" s="1"/>
  <c r="AL40" i="1"/>
  <c r="G40" i="1" s="1"/>
  <c r="AK40" i="1"/>
  <c r="F40" i="1" s="1"/>
  <c r="X40" i="1"/>
  <c r="E40" i="1"/>
  <c r="U40" i="1"/>
  <c r="T40" i="1"/>
  <c r="AN72" i="1"/>
  <c r="I72" i="1" s="1"/>
  <c r="AM72" i="1"/>
  <c r="H72" i="1" s="1"/>
  <c r="AL72" i="1"/>
  <c r="G72" i="1" s="1"/>
  <c r="AK72" i="1"/>
  <c r="F72" i="1" s="1"/>
  <c r="X72" i="1"/>
  <c r="E72" i="1"/>
  <c r="U72" i="1"/>
  <c r="T72" i="1"/>
  <c r="AN38" i="1"/>
  <c r="I38" i="1" s="1"/>
  <c r="AM38" i="1"/>
  <c r="H38" i="1" s="1"/>
  <c r="AL38" i="1"/>
  <c r="G38" i="1" s="1"/>
  <c r="AK38" i="1"/>
  <c r="F38" i="1" s="1"/>
  <c r="E38" i="1"/>
  <c r="U38" i="1"/>
  <c r="T38" i="1"/>
  <c r="AN26" i="1"/>
  <c r="I26" i="1" s="1"/>
  <c r="AM26" i="1"/>
  <c r="H26" i="1" s="1"/>
  <c r="AL26" i="1"/>
  <c r="G26" i="1" s="1"/>
  <c r="AK26" i="1"/>
  <c r="F26" i="1" s="1"/>
  <c r="X26" i="1"/>
  <c r="E26" i="1"/>
  <c r="U26" i="1"/>
  <c r="T26" i="1"/>
  <c r="AN32" i="1"/>
  <c r="I32" i="1" s="1"/>
  <c r="AM32" i="1"/>
  <c r="H32" i="1" s="1"/>
  <c r="AL32" i="1"/>
  <c r="G32" i="1" s="1"/>
  <c r="AK32" i="1"/>
  <c r="F32" i="1" s="1"/>
  <c r="X32" i="1"/>
  <c r="E32" i="1"/>
  <c r="U32" i="1"/>
  <c r="T32" i="1"/>
  <c r="AN65" i="1"/>
  <c r="I65" i="1" s="1"/>
  <c r="AM65" i="1"/>
  <c r="H65" i="1" s="1"/>
  <c r="AL65" i="1"/>
  <c r="G65" i="1" s="1"/>
  <c r="AK65" i="1"/>
  <c r="F65" i="1" s="1"/>
  <c r="E65" i="1"/>
  <c r="U65" i="1"/>
  <c r="T65" i="1"/>
  <c r="AN53" i="1"/>
  <c r="I53" i="1" s="1"/>
  <c r="AM53" i="1"/>
  <c r="H53" i="1" s="1"/>
  <c r="AL53" i="1"/>
  <c r="G53" i="1" s="1"/>
  <c r="AK53" i="1"/>
  <c r="F53" i="1" s="1"/>
  <c r="X53" i="1"/>
  <c r="E53" i="1"/>
  <c r="U53" i="1"/>
  <c r="T53" i="1"/>
  <c r="AN21" i="1"/>
  <c r="I21" i="1" s="1"/>
  <c r="AM21" i="1"/>
  <c r="H21" i="1" s="1"/>
  <c r="AL21" i="1"/>
  <c r="G21" i="1" s="1"/>
  <c r="AK21" i="1"/>
  <c r="F21" i="1" s="1"/>
  <c r="X21" i="1"/>
  <c r="E21" i="1"/>
  <c r="U21" i="1"/>
  <c r="T21" i="1"/>
  <c r="AN18" i="1"/>
  <c r="I18" i="1" s="1"/>
  <c r="AM18" i="1"/>
  <c r="H18" i="1" s="1"/>
  <c r="AL18" i="1"/>
  <c r="G18" i="1" s="1"/>
  <c r="AK18" i="1"/>
  <c r="F18" i="1" s="1"/>
  <c r="E18" i="1"/>
  <c r="U18" i="1"/>
  <c r="T18" i="1"/>
  <c r="AN24" i="1"/>
  <c r="I24" i="1" s="1"/>
  <c r="AM24" i="1"/>
  <c r="H24" i="1" s="1"/>
  <c r="AL24" i="1"/>
  <c r="G24" i="1" s="1"/>
  <c r="AK24" i="1"/>
  <c r="F24" i="1" s="1"/>
  <c r="X24" i="1"/>
  <c r="E24" i="1"/>
  <c r="U24" i="1"/>
  <c r="T24" i="1"/>
  <c r="AN33" i="1"/>
  <c r="I33" i="1" s="1"/>
  <c r="AM33" i="1"/>
  <c r="H33" i="1" s="1"/>
  <c r="AL33" i="1"/>
  <c r="G33" i="1" s="1"/>
  <c r="AK33" i="1"/>
  <c r="F33" i="1" s="1"/>
  <c r="X33" i="1"/>
  <c r="E33" i="1"/>
  <c r="U33" i="1"/>
  <c r="T33" i="1"/>
  <c r="AN35" i="1"/>
  <c r="I35" i="1" s="1"/>
  <c r="AM35" i="1"/>
  <c r="H35" i="1" s="1"/>
  <c r="AL35" i="1"/>
  <c r="G35" i="1" s="1"/>
  <c r="AK35" i="1"/>
  <c r="F35" i="1" s="1"/>
  <c r="X35" i="1"/>
  <c r="E35" i="1"/>
  <c r="U35" i="1"/>
  <c r="T35" i="1"/>
  <c r="AM13" i="1"/>
  <c r="H13" i="1" s="1"/>
  <c r="AL13" i="1"/>
  <c r="G13" i="1" s="1"/>
  <c r="AK13" i="1"/>
  <c r="F13" i="1" s="1"/>
  <c r="X13" i="1"/>
  <c r="E13" i="1"/>
  <c r="U13" i="1"/>
  <c r="T13" i="1"/>
  <c r="AN23" i="1"/>
  <c r="I23" i="1" s="1"/>
  <c r="AM23" i="1"/>
  <c r="H23" i="1" s="1"/>
  <c r="AL23" i="1"/>
  <c r="G23" i="1" s="1"/>
  <c r="AK23" i="1"/>
  <c r="F23" i="1" s="1"/>
  <c r="X23" i="1"/>
  <c r="E23" i="1"/>
  <c r="U23" i="1"/>
  <c r="T23" i="1"/>
  <c r="AN48" i="1"/>
  <c r="I48" i="1" s="1"/>
  <c r="AM48" i="1"/>
  <c r="H48" i="1" s="1"/>
  <c r="AL48" i="1"/>
  <c r="G48" i="1" s="1"/>
  <c r="AK48" i="1"/>
  <c r="F48" i="1" s="1"/>
  <c r="X48" i="1"/>
  <c r="E48" i="1"/>
  <c r="U48" i="1"/>
  <c r="T48" i="1"/>
  <c r="AN56" i="1"/>
  <c r="I56" i="1" s="1"/>
  <c r="AM56" i="1"/>
  <c r="H56" i="1" s="1"/>
  <c r="AL56" i="1"/>
  <c r="G56" i="1" s="1"/>
  <c r="AK56" i="1"/>
  <c r="F56" i="1" s="1"/>
  <c r="X56" i="1"/>
  <c r="E56" i="1"/>
  <c r="U56" i="1"/>
  <c r="T56" i="1"/>
  <c r="AN74" i="1"/>
  <c r="I74" i="1" s="1"/>
  <c r="AM74" i="1"/>
  <c r="H74" i="1" s="1"/>
  <c r="AL74" i="1"/>
  <c r="G74" i="1" s="1"/>
  <c r="AK74" i="1"/>
  <c r="F74" i="1" s="1"/>
  <c r="X74" i="1"/>
  <c r="E74" i="1"/>
  <c r="U74" i="1"/>
  <c r="T74" i="1"/>
  <c r="AN22" i="1"/>
  <c r="I22" i="1" s="1"/>
  <c r="AM22" i="1"/>
  <c r="H22" i="1" s="1"/>
  <c r="AL22" i="1"/>
  <c r="G22" i="1" s="1"/>
  <c r="AK22" i="1"/>
  <c r="F22" i="1" s="1"/>
  <c r="X22" i="1"/>
  <c r="E22" i="1"/>
  <c r="U22" i="1"/>
  <c r="T22" i="1"/>
  <c r="AM12" i="1"/>
  <c r="H12" i="1" s="1"/>
  <c r="AL12" i="1"/>
  <c r="G12" i="1" s="1"/>
  <c r="AK12" i="1"/>
  <c r="F12" i="1" s="1"/>
  <c r="X12" i="1"/>
  <c r="E12" i="1"/>
  <c r="U12" i="1"/>
  <c r="T12" i="1"/>
  <c r="AN76" i="1"/>
  <c r="I76" i="1" s="1"/>
  <c r="AM76" i="1"/>
  <c r="H76" i="1" s="1"/>
  <c r="AL76" i="1"/>
  <c r="G76" i="1" s="1"/>
  <c r="AK76" i="1"/>
  <c r="F76" i="1" s="1"/>
  <c r="X76" i="1"/>
  <c r="E76" i="1"/>
  <c r="U76" i="1"/>
  <c r="T76" i="1"/>
  <c r="AN49" i="1"/>
  <c r="I49" i="1" s="1"/>
  <c r="AM49" i="1"/>
  <c r="H49" i="1" s="1"/>
  <c r="AL49" i="1"/>
  <c r="G49" i="1" s="1"/>
  <c r="AK49" i="1"/>
  <c r="F49" i="1" s="1"/>
  <c r="X49" i="1"/>
  <c r="E49" i="1"/>
  <c r="U49" i="1"/>
  <c r="T49" i="1"/>
  <c r="AN31" i="1"/>
  <c r="I31" i="1" s="1"/>
  <c r="AM31" i="1"/>
  <c r="H31" i="1" s="1"/>
  <c r="AL31" i="1"/>
  <c r="G31" i="1" s="1"/>
  <c r="AK31" i="1"/>
  <c r="F31" i="1" s="1"/>
  <c r="X31" i="1"/>
  <c r="E31" i="1"/>
  <c r="U31" i="1"/>
  <c r="T31" i="1"/>
  <c r="AN67" i="1"/>
  <c r="I67" i="1" s="1"/>
  <c r="AM67" i="1"/>
  <c r="H67" i="1" s="1"/>
  <c r="AL67" i="1"/>
  <c r="G67" i="1" s="1"/>
  <c r="AK67" i="1"/>
  <c r="F67" i="1" s="1"/>
  <c r="X67" i="1"/>
  <c r="E67" i="1"/>
  <c r="U67" i="1"/>
  <c r="T67" i="1"/>
  <c r="AN80" i="1"/>
  <c r="I80" i="1" s="1"/>
  <c r="AM80" i="1"/>
  <c r="H80" i="1" s="1"/>
  <c r="AL80" i="1"/>
  <c r="G80" i="1" s="1"/>
  <c r="AK80" i="1"/>
  <c r="F80" i="1" s="1"/>
  <c r="X80" i="1"/>
  <c r="E80" i="1"/>
  <c r="U80" i="1"/>
  <c r="T80" i="1"/>
  <c r="AN30" i="1"/>
  <c r="I30" i="1" s="1"/>
  <c r="AM30" i="1"/>
  <c r="H30" i="1" s="1"/>
  <c r="AL30" i="1"/>
  <c r="G30" i="1" s="1"/>
  <c r="AK30" i="1"/>
  <c r="F30" i="1" s="1"/>
  <c r="E30" i="1"/>
  <c r="U30" i="1"/>
  <c r="T30" i="1"/>
  <c r="AN52" i="1"/>
  <c r="I52" i="1" s="1"/>
  <c r="AM52" i="1"/>
  <c r="H52" i="1" s="1"/>
  <c r="AL52" i="1"/>
  <c r="G52" i="1" s="1"/>
  <c r="AK52" i="1"/>
  <c r="F52" i="1" s="1"/>
  <c r="X52" i="1"/>
  <c r="E52" i="1"/>
  <c r="U52" i="1"/>
  <c r="T52" i="1"/>
  <c r="AN77" i="1"/>
  <c r="I77" i="1" s="1"/>
  <c r="AM77" i="1"/>
  <c r="H77" i="1" s="1"/>
  <c r="AL77" i="1"/>
  <c r="G77" i="1" s="1"/>
  <c r="AK77" i="1"/>
  <c r="F77" i="1" s="1"/>
  <c r="X77" i="1"/>
  <c r="E77" i="1"/>
  <c r="U77" i="1"/>
  <c r="T77" i="1"/>
  <c r="AN51" i="1"/>
  <c r="I51" i="1" s="1"/>
  <c r="AM51" i="1"/>
  <c r="H51" i="1" s="1"/>
  <c r="AL51" i="1"/>
  <c r="G51" i="1" s="1"/>
  <c r="AK51" i="1"/>
  <c r="F51" i="1" s="1"/>
  <c r="X51" i="1"/>
  <c r="E51" i="1"/>
  <c r="U51" i="1"/>
  <c r="T51" i="1"/>
  <c r="AN78" i="1"/>
  <c r="I78" i="1" s="1"/>
  <c r="AM78" i="1"/>
  <c r="H78" i="1" s="1"/>
  <c r="AL78" i="1"/>
  <c r="G78" i="1" s="1"/>
  <c r="AK78" i="1"/>
  <c r="F78" i="1" s="1"/>
  <c r="X78" i="1"/>
  <c r="E78" i="1"/>
  <c r="U78" i="1"/>
  <c r="T78" i="1"/>
  <c r="AN71" i="1"/>
  <c r="I71" i="1" s="1"/>
  <c r="AM71" i="1"/>
  <c r="H71" i="1" s="1"/>
  <c r="AL71" i="1"/>
  <c r="G71" i="1" s="1"/>
  <c r="AK71" i="1"/>
  <c r="F71" i="1" s="1"/>
  <c r="X71" i="1"/>
  <c r="E71" i="1"/>
  <c r="U71" i="1"/>
  <c r="T71" i="1"/>
  <c r="AN44" i="1"/>
  <c r="I44" i="1" s="1"/>
  <c r="AM44" i="1"/>
  <c r="H44" i="1" s="1"/>
  <c r="AL44" i="1"/>
  <c r="G44" i="1" s="1"/>
  <c r="AK44" i="1"/>
  <c r="F44" i="1" s="1"/>
  <c r="X44" i="1"/>
  <c r="E44" i="1"/>
  <c r="U44" i="1"/>
  <c r="T44" i="1"/>
  <c r="AN58" i="1"/>
  <c r="I58" i="1" s="1"/>
  <c r="AM58" i="1"/>
  <c r="H58" i="1" s="1"/>
  <c r="AL58" i="1"/>
  <c r="G58" i="1" s="1"/>
  <c r="AK58" i="1"/>
  <c r="F58" i="1" s="1"/>
  <c r="E58" i="1"/>
  <c r="U58" i="1"/>
  <c r="T58" i="1"/>
  <c r="AL7" i="1"/>
  <c r="G7" i="1" s="1"/>
  <c r="X7" i="1"/>
  <c r="X66" i="1"/>
  <c r="Z5" i="1" l="1"/>
  <c r="Z33" i="1"/>
  <c r="Z30" i="1"/>
  <c r="Z36" i="1"/>
  <c r="Z56" i="1"/>
  <c r="Z52" i="1"/>
  <c r="Z75" i="1"/>
  <c r="Z71" i="1"/>
  <c r="Z51" i="1"/>
  <c r="Z73" i="1"/>
  <c r="Z7" i="1"/>
  <c r="Z17" i="1"/>
  <c r="Z19" i="1"/>
  <c r="Z24" i="1"/>
  <c r="Z41" i="1"/>
  <c r="Z50" i="1"/>
  <c r="Z59" i="1"/>
  <c r="Z74" i="1"/>
  <c r="Z62" i="1"/>
  <c r="Z68" i="1"/>
  <c r="Z10" i="1"/>
  <c r="Z20" i="1"/>
  <c r="Z25" i="1"/>
  <c r="Z38" i="1"/>
  <c r="Z42" i="1"/>
  <c r="Z54" i="1"/>
  <c r="Z66" i="1"/>
  <c r="Z58" i="1"/>
  <c r="Z57" i="1"/>
  <c r="Z11" i="1"/>
  <c r="Z14" i="1"/>
  <c r="Z27" i="1"/>
  <c r="Z23" i="1"/>
  <c r="Z35" i="1"/>
  <c r="Z31" i="1"/>
  <c r="Z43" i="1"/>
  <c r="Z70" i="1"/>
  <c r="Z64" i="1"/>
  <c r="Z6" i="1"/>
  <c r="Z13" i="1"/>
  <c r="Z29" i="1"/>
  <c r="Z39" i="1"/>
  <c r="Z47" i="1"/>
  <c r="Z78" i="1"/>
  <c r="Z77" i="1"/>
  <c r="Z67" i="1"/>
  <c r="Z76" i="1"/>
  <c r="Z9" i="1"/>
  <c r="Z22" i="1"/>
  <c r="Z21" i="1"/>
  <c r="Z18" i="1"/>
  <c r="Z37" i="1"/>
  <c r="Z53" i="1"/>
  <c r="Z72" i="1"/>
  <c r="Z80" i="1"/>
  <c r="Z61" i="1"/>
  <c r="Z60" i="1"/>
  <c r="Z4" i="1"/>
  <c r="Z3" i="1"/>
  <c r="Z12" i="1"/>
  <c r="Z16" i="1"/>
  <c r="Z34" i="1"/>
  <c r="Z32" i="1"/>
  <c r="Z49" i="1"/>
  <c r="Z48" i="1"/>
  <c r="Z63" i="1"/>
  <c r="Z69" i="1"/>
  <c r="Z79" i="1"/>
  <c r="Z8" i="1"/>
  <c r="Z15" i="1"/>
  <c r="Z28" i="1"/>
  <c r="Z26" i="1"/>
  <c r="Z45" i="1"/>
  <c r="Z40" i="1"/>
  <c r="Z65" i="1"/>
  <c r="Z44" i="1"/>
  <c r="Z55" i="1"/>
  <c r="Z46" i="1"/>
  <c r="K6" i="1"/>
  <c r="K63" i="1"/>
  <c r="J59" i="1"/>
  <c r="K20" i="1"/>
  <c r="K9" i="1"/>
  <c r="J37" i="1"/>
  <c r="K60" i="1"/>
  <c r="K11" i="1"/>
  <c r="K8" i="1"/>
  <c r="J64" i="1"/>
  <c r="K43" i="1"/>
  <c r="J63" i="1"/>
  <c r="K59" i="1"/>
  <c r="J9" i="1"/>
  <c r="J20" i="1"/>
  <c r="J60" i="1"/>
  <c r="J11" i="1"/>
  <c r="K34" i="1"/>
  <c r="K37" i="1"/>
  <c r="K69" i="1"/>
  <c r="K57" i="1"/>
  <c r="J6" i="1"/>
  <c r="J57" i="1"/>
  <c r="K64" i="1"/>
  <c r="J69" i="1"/>
  <c r="J8" i="1"/>
  <c r="K50" i="1"/>
  <c r="J50" i="1"/>
  <c r="J34" i="1"/>
  <c r="J43" i="1"/>
  <c r="J45" i="1"/>
  <c r="K75" i="1"/>
  <c r="J15" i="1"/>
  <c r="K47" i="1"/>
  <c r="J67" i="1"/>
  <c r="K18" i="1"/>
  <c r="J39" i="1"/>
  <c r="K21" i="1"/>
  <c r="K42" i="1"/>
  <c r="K48" i="1"/>
  <c r="K28" i="1"/>
  <c r="K46" i="1"/>
  <c r="J27" i="1"/>
  <c r="K32" i="1"/>
  <c r="K23" i="1"/>
  <c r="K33" i="1"/>
  <c r="J40" i="1"/>
  <c r="J26" i="1"/>
  <c r="K4" i="1"/>
  <c r="K80" i="1"/>
  <c r="J16" i="1"/>
  <c r="J70" i="1"/>
  <c r="K53" i="1"/>
  <c r="J24" i="1"/>
  <c r="K19" i="1"/>
  <c r="K14" i="1"/>
  <c r="J31" i="1"/>
  <c r="K72" i="1"/>
  <c r="K35" i="1"/>
  <c r="K13" i="1"/>
  <c r="J12" i="1"/>
  <c r="K74" i="1"/>
  <c r="J65" i="1"/>
  <c r="K61" i="1"/>
  <c r="K29" i="1"/>
  <c r="K54" i="1"/>
  <c r="J73" i="1"/>
  <c r="J49" i="1"/>
  <c r="K51" i="1"/>
  <c r="K22" i="1"/>
  <c r="K56" i="1"/>
  <c r="J38" i="1"/>
  <c r="K10" i="1"/>
  <c r="J30" i="1"/>
  <c r="J76" i="1"/>
  <c r="K39" i="1"/>
  <c r="J80" i="1"/>
  <c r="K49" i="1"/>
  <c r="K76" i="1"/>
  <c r="J33" i="1"/>
  <c r="J53" i="1"/>
  <c r="J72" i="1"/>
  <c r="J46" i="1"/>
  <c r="J74" i="1"/>
  <c r="J56" i="1"/>
  <c r="J13" i="1"/>
  <c r="J35" i="1"/>
  <c r="J21" i="1"/>
  <c r="J47" i="1"/>
  <c r="J51" i="1"/>
  <c r="K15" i="1"/>
  <c r="K58" i="1"/>
  <c r="J22" i="1"/>
  <c r="K30" i="1"/>
  <c r="J48" i="1"/>
  <c r="K16" i="1"/>
  <c r="K67" i="1"/>
  <c r="K31" i="1"/>
  <c r="K65" i="1"/>
  <c r="K26" i="1"/>
  <c r="K40" i="1"/>
  <c r="K73" i="1"/>
  <c r="J42" i="1"/>
  <c r="J28" i="1"/>
  <c r="K12" i="1"/>
  <c r="J23" i="1"/>
  <c r="K24" i="1"/>
  <c r="J18" i="1"/>
  <c r="J32" i="1"/>
  <c r="J75" i="1"/>
  <c r="J61" i="1"/>
  <c r="K70" i="1"/>
  <c r="K79" i="1"/>
  <c r="K45" i="1"/>
  <c r="K38" i="1"/>
  <c r="K52" i="1"/>
  <c r="J71" i="1"/>
  <c r="K78" i="1"/>
  <c r="K55" i="1"/>
  <c r="K36" i="1"/>
  <c r="K68" i="1"/>
  <c r="J10" i="1"/>
  <c r="J29" i="1"/>
  <c r="K27" i="1"/>
  <c r="J19" i="1"/>
  <c r="K5" i="1"/>
  <c r="K25" i="1"/>
  <c r="J52" i="1"/>
  <c r="K44" i="1"/>
  <c r="J44" i="1"/>
  <c r="K77" i="1"/>
  <c r="J77" i="1"/>
  <c r="K71" i="1"/>
  <c r="J58" i="1"/>
  <c r="K17" i="1"/>
  <c r="J17" i="1"/>
  <c r="J36" i="1"/>
  <c r="K41" i="1"/>
  <c r="J41" i="1"/>
  <c r="J5" i="1"/>
  <c r="J14" i="1"/>
  <c r="K3" i="1"/>
  <c r="J3" i="1"/>
  <c r="J4" i="1"/>
  <c r="J78" i="1"/>
  <c r="K62" i="1"/>
  <c r="J62" i="1"/>
  <c r="J55" i="1"/>
  <c r="J79" i="1"/>
  <c r="J54" i="1"/>
  <c r="J68" i="1"/>
  <c r="J25" i="1"/>
  <c r="E7" i="1" l="1"/>
  <c r="U66" i="1" l="1"/>
  <c r="U7" i="1"/>
  <c r="T7" i="1"/>
  <c r="T66" i="1"/>
  <c r="AL66" i="1" l="1"/>
  <c r="G66" i="1" s="1"/>
  <c r="AK7" i="1"/>
  <c r="E66" i="1"/>
  <c r="AM7" i="1" l="1"/>
  <c r="H7" i="1" s="1"/>
  <c r="F7" i="1"/>
  <c r="AN66" i="1"/>
  <c r="I66" i="1" s="1"/>
  <c r="AM66" i="1"/>
  <c r="H66" i="1" s="1"/>
  <c r="AK66" i="1"/>
  <c r="F66" i="1" s="1"/>
  <c r="K66" i="1" l="1"/>
  <c r="K7" i="1"/>
  <c r="J7" i="1"/>
  <c r="J66" i="1"/>
  <c r="I4" i="1" l="1"/>
  <c r="I6" i="1"/>
  <c r="I12" i="1"/>
  <c r="I7" i="1"/>
  <c r="I11" i="1"/>
  <c r="I15" i="1"/>
  <c r="I10" i="1"/>
  <c r="I14" i="1"/>
  <c r="I8" i="1"/>
  <c r="I3" i="1"/>
  <c r="I5" i="1"/>
  <c r="I9" i="1"/>
  <c r="I13" i="1"/>
  <c r="S3" i="1" l="1"/>
  <c r="S4" i="1" l="1"/>
  <c r="AO3" i="1"/>
  <c r="AO4" i="1" l="1"/>
  <c r="AO5" i="1" s="1"/>
  <c r="AO6" i="1" s="1"/>
  <c r="AO7" i="1" s="1"/>
  <c r="S5" i="1"/>
  <c r="S6" i="1" s="1"/>
  <c r="S7" i="1" s="1"/>
  <c r="S8" i="1" s="1"/>
  <c r="S9" i="1" l="1"/>
  <c r="S10" i="1" s="1"/>
  <c r="S11" i="1" s="1"/>
  <c r="S12" i="1" s="1"/>
  <c r="AO8" i="1"/>
  <c r="AO9" i="1" s="1"/>
  <c r="AO10" i="1" s="1"/>
  <c r="AO11" i="1" s="1"/>
  <c r="AO12" i="1" l="1"/>
  <c r="AO13" i="1" s="1"/>
  <c r="AO14" i="1" s="1"/>
  <c r="S13" i="1"/>
  <c r="S14" i="1" s="1"/>
  <c r="S15" i="1" s="1"/>
  <c r="S35" i="1" l="1"/>
  <c r="S36" i="1" s="1"/>
  <c r="S37" i="1" s="1"/>
  <c r="S38" i="1" s="1"/>
  <c r="S39" i="1" s="1"/>
  <c r="S40" i="1" s="1"/>
  <c r="S41" i="1" s="1"/>
  <c r="S42" i="1" s="1"/>
  <c r="S43" i="1" s="1"/>
  <c r="S44" i="1" s="1"/>
  <c r="S45" i="1" s="1"/>
  <c r="S46" i="1" s="1"/>
  <c r="S47" i="1" s="1"/>
  <c r="S48" i="1" s="1"/>
  <c r="S49" i="1" s="1"/>
  <c r="S50" i="1" s="1"/>
  <c r="S51" i="1" s="1"/>
  <c r="S52" i="1" s="1"/>
  <c r="S53" i="1" s="1"/>
  <c r="S54" i="1" s="1"/>
  <c r="S55" i="1" s="1"/>
  <c r="S56" i="1" s="1"/>
  <c r="S57" i="1" s="1"/>
  <c r="S58" i="1" s="1"/>
  <c r="S59" i="1" s="1"/>
  <c r="S60" i="1" s="1"/>
  <c r="S61" i="1" s="1"/>
  <c r="S62" i="1" s="1"/>
  <c r="S63" i="1" s="1"/>
  <c r="S64" i="1" s="1"/>
  <c r="S65" i="1" s="1"/>
  <c r="S66" i="1" s="1"/>
  <c r="S67" i="1" s="1"/>
  <c r="S68" i="1" s="1"/>
  <c r="S69" i="1" s="1"/>
  <c r="S70" i="1" s="1"/>
  <c r="S71" i="1" s="1"/>
  <c r="S72" i="1" s="1"/>
  <c r="S73" i="1" s="1"/>
  <c r="S74" i="1" s="1"/>
  <c r="S75" i="1" s="1"/>
  <c r="S76" i="1" s="1"/>
  <c r="S77" i="1" s="1"/>
  <c r="S78" i="1" s="1"/>
  <c r="S79" i="1" s="1"/>
  <c r="S80" i="1" s="1"/>
  <c r="S16" i="1"/>
  <c r="S17" i="1" s="1"/>
  <c r="S18" i="1" s="1"/>
  <c r="S19" i="1" s="1"/>
  <c r="S20" i="1" s="1"/>
  <c r="S21" i="1" s="1"/>
  <c r="S22" i="1" s="1"/>
  <c r="S23" i="1" s="1"/>
  <c r="S24" i="1" s="1"/>
  <c r="S25" i="1" s="1"/>
  <c r="S26" i="1" s="1"/>
  <c r="S27" i="1" s="1"/>
  <c r="S28" i="1" s="1"/>
  <c r="S29" i="1" s="1"/>
  <c r="S30" i="1" s="1"/>
  <c r="S31" i="1" s="1"/>
  <c r="S32" i="1" s="1"/>
  <c r="S33" i="1" s="1"/>
  <c r="S34" i="1" s="1"/>
  <c r="AO15" i="1"/>
  <c r="AO16" i="1" s="1"/>
  <c r="AO17" i="1" s="1"/>
  <c r="AO18" i="1" s="1"/>
  <c r="AO19" i="1" s="1"/>
  <c r="AO20" i="1" s="1"/>
  <c r="AO21" i="1" s="1"/>
  <c r="AO22" i="1" s="1"/>
  <c r="AO23" i="1" s="1"/>
  <c r="AO24" i="1" s="1"/>
  <c r="AO25" i="1" s="1"/>
  <c r="AO26" i="1" s="1"/>
  <c r="AO27" i="1" s="1"/>
  <c r="AO28" i="1" s="1"/>
  <c r="AO29" i="1" s="1"/>
  <c r="AO30" i="1" s="1"/>
  <c r="AO31" i="1" s="1"/>
  <c r="AO32" i="1" s="1"/>
  <c r="AO33" i="1" s="1"/>
  <c r="AO34" i="1" s="1"/>
  <c r="AO35" i="1" s="1"/>
  <c r="AO36" i="1" s="1"/>
  <c r="AO37" i="1" s="1"/>
  <c r="AO38" i="1" s="1"/>
  <c r="AO39" i="1" s="1"/>
  <c r="AO40" i="1" s="1"/>
  <c r="AO41" i="1" s="1"/>
  <c r="AO42" i="1" s="1"/>
  <c r="AO43" i="1" s="1"/>
  <c r="AO44" i="1" s="1"/>
  <c r="AO45" i="1" s="1"/>
  <c r="AO46" i="1" s="1"/>
  <c r="AO47" i="1" s="1"/>
  <c r="AO48" i="1" s="1"/>
  <c r="AO49" i="1" s="1"/>
  <c r="AO50" i="1" s="1"/>
  <c r="AO51" i="1" s="1"/>
  <c r="AO52" i="1" s="1"/>
  <c r="AO53" i="1" s="1"/>
  <c r="AO54" i="1" s="1"/>
  <c r="AO55" i="1" s="1"/>
  <c r="AO56" i="1" s="1"/>
  <c r="AO57" i="1" s="1"/>
  <c r="AO58" i="1" s="1"/>
  <c r="AO59" i="1" s="1"/>
  <c r="AO60" i="1" s="1"/>
  <c r="AO61" i="1" s="1"/>
  <c r="AO62" i="1" s="1"/>
  <c r="AO63" i="1" s="1"/>
  <c r="AO64" i="1" s="1"/>
  <c r="AO65" i="1" s="1"/>
  <c r="AO66" i="1" l="1"/>
  <c r="AO67" i="1" s="1"/>
  <c r="AO68" i="1" s="1"/>
  <c r="AO69" i="1" s="1"/>
  <c r="AO70" i="1" s="1"/>
  <c r="AO71" i="1" s="1"/>
  <c r="AO72" i="1" s="1"/>
  <c r="AO73" i="1" s="1"/>
  <c r="AO74" i="1" s="1"/>
  <c r="AO75" i="1" s="1"/>
  <c r="AO76" i="1" s="1"/>
  <c r="AO77" i="1" s="1"/>
  <c r="AO78" i="1" s="1"/>
  <c r="AO79" i="1" s="1"/>
  <c r="AO80" i="1" s="1"/>
  <c r="A1" i="1" l="1"/>
  <c r="F8" i="4" l="1"/>
  <c r="F44" i="4"/>
  <c r="F54" i="4"/>
  <c r="F11" i="4"/>
  <c r="F17" i="4"/>
  <c r="F53" i="4"/>
  <c r="F25" i="4"/>
  <c r="F61" i="4"/>
  <c r="E14" i="4"/>
  <c r="E44" i="4"/>
  <c r="E43" i="4"/>
  <c r="E42" i="4"/>
  <c r="E19" i="4"/>
  <c r="E50" i="4"/>
  <c r="E51" i="4"/>
  <c r="E20" i="4"/>
  <c r="E60" i="4"/>
  <c r="E40" i="4"/>
  <c r="E61" i="4"/>
  <c r="E16" i="4"/>
  <c r="E27" i="4"/>
  <c r="F40" i="4"/>
  <c r="F38" i="4"/>
  <c r="F4" i="4"/>
  <c r="F13" i="4"/>
  <c r="F49" i="4"/>
  <c r="F3" i="4"/>
  <c r="F57" i="4"/>
  <c r="E18" i="4"/>
  <c r="E57" i="4"/>
  <c r="E22" i="4"/>
  <c r="E2" i="4"/>
  <c r="E24" i="4"/>
  <c r="E33" i="4"/>
  <c r="E13" i="4"/>
  <c r="E41" i="4"/>
  <c r="E59" i="4"/>
  <c r="E29" i="4"/>
  <c r="E5" i="4"/>
  <c r="E7" i="4"/>
  <c r="E17" i="4"/>
  <c r="E23" i="4"/>
  <c r="E38" i="4"/>
  <c r="E15" i="4"/>
  <c r="E10" i="4"/>
  <c r="F26" i="4"/>
  <c r="F37" i="4"/>
  <c r="F9" i="4"/>
  <c r="F45" i="4"/>
  <c r="F34" i="4"/>
  <c r="F50" i="4"/>
  <c r="F14" i="4"/>
  <c r="F58" i="4"/>
  <c r="F23" i="4"/>
  <c r="F32" i="4"/>
  <c r="F36" i="4"/>
  <c r="F55" i="4"/>
  <c r="F46" i="4"/>
  <c r="F41" i="4"/>
  <c r="F18" i="4"/>
  <c r="F39" i="4"/>
  <c r="F51" i="4"/>
  <c r="F15" i="4"/>
  <c r="F33" i="4"/>
  <c r="F6" i="4"/>
  <c r="F28" i="4"/>
  <c r="F60" i="4"/>
  <c r="E25" i="4"/>
  <c r="E32" i="4"/>
  <c r="E48" i="4"/>
  <c r="E52" i="4"/>
  <c r="E49" i="4"/>
  <c r="E8" i="4"/>
  <c r="E37" i="4"/>
  <c r="E46" i="4"/>
  <c r="E55" i="4"/>
  <c r="E53" i="4"/>
  <c r="E9" i="4"/>
  <c r="E47" i="4"/>
  <c r="E54" i="4"/>
  <c r="E56" i="4"/>
  <c r="E6" i="4"/>
  <c r="E21" i="4"/>
  <c r="E34" i="4"/>
  <c r="E12" i="4"/>
  <c r="E28" i="4"/>
  <c r="E31" i="4"/>
  <c r="E58" i="4"/>
  <c r="E11" i="4"/>
  <c r="E3" i="4"/>
  <c r="E36" i="4"/>
  <c r="E45" i="4"/>
  <c r="E35" i="4"/>
  <c r="E30" i="4"/>
  <c r="E26" i="4"/>
  <c r="E4" i="4"/>
  <c r="E39" i="4"/>
  <c r="F5" i="4"/>
  <c r="F42" i="4"/>
  <c r="F59" i="4"/>
  <c r="F7" i="4"/>
  <c r="F24" i="4"/>
  <c r="F2" i="4"/>
  <c r="F22" i="4"/>
  <c r="F52" i="4"/>
  <c r="F29" i="4"/>
  <c r="F12" i="4"/>
  <c r="F30" i="4"/>
  <c r="F56" i="4"/>
  <c r="F31" i="4"/>
  <c r="F19" i="4"/>
  <c r="F47" i="4"/>
  <c r="F27" i="4"/>
  <c r="F21" i="4"/>
  <c r="F16" i="4"/>
  <c r="F10" i="4"/>
  <c r="F35" i="4"/>
  <c r="F43" i="4"/>
  <c r="F48" i="4"/>
  <c r="F20" i="4"/>
  <c r="D38" i="4" l="1"/>
  <c r="G38" i="4"/>
  <c r="H38" i="4" s="1"/>
  <c r="D4" i="4"/>
  <c r="G4" i="4"/>
  <c r="H4" i="4" s="1"/>
  <c r="D58" i="4"/>
  <c r="G58" i="4"/>
  <c r="H58" i="4" s="1"/>
  <c r="D54" i="4"/>
  <c r="G54" i="4"/>
  <c r="H54" i="4" s="1"/>
  <c r="D49" i="4"/>
  <c r="G49" i="4"/>
  <c r="H49" i="4" s="1"/>
  <c r="D7" i="4"/>
  <c r="G7" i="4"/>
  <c r="H7" i="4" s="1"/>
  <c r="D2" i="4"/>
  <c r="G2" i="4"/>
  <c r="H2" i="4" s="1"/>
  <c r="G20" i="4"/>
  <c r="H20" i="4" s="1"/>
  <c r="D20" i="4"/>
  <c r="D26" i="4"/>
  <c r="G26" i="4"/>
  <c r="H26" i="4" s="1"/>
  <c r="D31" i="4"/>
  <c r="G31" i="4"/>
  <c r="H31" i="4" s="1"/>
  <c r="G47" i="4"/>
  <c r="H47" i="4" s="1"/>
  <c r="D47" i="4"/>
  <c r="G52" i="4"/>
  <c r="H52" i="4" s="1"/>
  <c r="D52" i="4"/>
  <c r="D5" i="4"/>
  <c r="G5" i="4"/>
  <c r="H5" i="4" s="1"/>
  <c r="D22" i="4"/>
  <c r="G22" i="4"/>
  <c r="H22" i="4" s="1"/>
  <c r="D51" i="4"/>
  <c r="G51" i="4"/>
  <c r="H51" i="4" s="1"/>
  <c r="D36" i="4"/>
  <c r="G36" i="4"/>
  <c r="H36" i="4" s="1"/>
  <c r="G21" i="4"/>
  <c r="H21" i="4" s="1"/>
  <c r="D21" i="4"/>
  <c r="D46" i="4"/>
  <c r="G46" i="4"/>
  <c r="H46" i="4" s="1"/>
  <c r="D13" i="4"/>
  <c r="G13" i="4"/>
  <c r="H13" i="4" s="1"/>
  <c r="D30" i="4"/>
  <c r="G30" i="4"/>
  <c r="H30" i="4" s="1"/>
  <c r="D28" i="4"/>
  <c r="G28" i="4"/>
  <c r="H28" i="4" s="1"/>
  <c r="D9" i="4"/>
  <c r="G9" i="4"/>
  <c r="H9" i="4" s="1"/>
  <c r="D48" i="4"/>
  <c r="G48" i="4"/>
  <c r="H48" i="4" s="1"/>
  <c r="D29" i="4"/>
  <c r="G29" i="4"/>
  <c r="H29" i="4" s="1"/>
  <c r="G57" i="4"/>
  <c r="H57" i="4" s="1"/>
  <c r="D57" i="4"/>
  <c r="D50" i="4"/>
  <c r="G50" i="4"/>
  <c r="H50" i="4" s="1"/>
  <c r="D43" i="4"/>
  <c r="G43" i="4"/>
  <c r="H43" i="4" s="1"/>
  <c r="D35" i="4"/>
  <c r="G35" i="4"/>
  <c r="H35" i="4" s="1"/>
  <c r="D12" i="4"/>
  <c r="G12" i="4"/>
  <c r="H12" i="4" s="1"/>
  <c r="D53" i="4"/>
  <c r="G53" i="4"/>
  <c r="H53" i="4" s="1"/>
  <c r="G32" i="4"/>
  <c r="H32" i="4" s="1"/>
  <c r="D32" i="4"/>
  <c r="D10" i="4"/>
  <c r="G10" i="4"/>
  <c r="H10" i="4" s="1"/>
  <c r="G59" i="4"/>
  <c r="H59" i="4" s="1"/>
  <c r="D59" i="4"/>
  <c r="G18" i="4"/>
  <c r="H18" i="4" s="1"/>
  <c r="D18" i="4"/>
  <c r="G27" i="4"/>
  <c r="H27" i="4" s="1"/>
  <c r="D27" i="4"/>
  <c r="D19" i="4"/>
  <c r="G19" i="4"/>
  <c r="H19" i="4" s="1"/>
  <c r="D45" i="4"/>
  <c r="G45" i="4"/>
  <c r="H45" i="4" s="1"/>
  <c r="D34" i="4"/>
  <c r="G34" i="4"/>
  <c r="H34" i="4" s="1"/>
  <c r="D55" i="4"/>
  <c r="G55" i="4"/>
  <c r="H55" i="4" s="1"/>
  <c r="D25" i="4"/>
  <c r="G25" i="4"/>
  <c r="H25" i="4" s="1"/>
  <c r="D15" i="4"/>
  <c r="G15" i="4"/>
  <c r="H15" i="4" s="1"/>
  <c r="G41" i="4"/>
  <c r="H41" i="4" s="1"/>
  <c r="D41" i="4"/>
  <c r="D16" i="4"/>
  <c r="G16" i="4"/>
  <c r="H16" i="4" s="1"/>
  <c r="G42" i="4"/>
  <c r="H42" i="4" s="1"/>
  <c r="D42" i="4"/>
  <c r="D61" i="4"/>
  <c r="G61" i="4"/>
  <c r="H61" i="4" s="1"/>
  <c r="D6" i="4"/>
  <c r="G6" i="4"/>
  <c r="H6" i="4" s="1"/>
  <c r="D37" i="4"/>
  <c r="G37" i="4"/>
  <c r="H37" i="4" s="1"/>
  <c r="G23" i="4"/>
  <c r="H23" i="4" s="1"/>
  <c r="D23" i="4"/>
  <c r="G33" i="4"/>
  <c r="H33" i="4" s="1"/>
  <c r="D33" i="4"/>
  <c r="G40" i="4"/>
  <c r="H40" i="4" s="1"/>
  <c r="D40" i="4"/>
  <c r="G44" i="4"/>
  <c r="H44" i="4" s="1"/>
  <c r="D44" i="4"/>
  <c r="D3" i="4"/>
  <c r="G3" i="4"/>
  <c r="H3" i="4" s="1"/>
  <c r="G39" i="4"/>
  <c r="H39" i="4" s="1"/>
  <c r="D39" i="4"/>
  <c r="D11" i="4"/>
  <c r="G11" i="4"/>
  <c r="H11" i="4" s="1"/>
  <c r="G56" i="4"/>
  <c r="H56" i="4" s="1"/>
  <c r="D56" i="4"/>
  <c r="G8" i="4"/>
  <c r="H8" i="4" s="1"/>
  <c r="D8" i="4"/>
  <c r="D17" i="4"/>
  <c r="G17" i="4"/>
  <c r="H17" i="4" s="1"/>
  <c r="G24" i="4"/>
  <c r="H24" i="4" s="1"/>
  <c r="D24" i="4"/>
  <c r="D60" i="4"/>
  <c r="G60" i="4"/>
  <c r="H60" i="4" s="1"/>
  <c r="D14" i="4"/>
  <c r="G14" i="4"/>
  <c r="H14" i="4" s="1"/>
</calcChain>
</file>

<file path=xl/sharedStrings.xml><?xml version="1.0" encoding="utf-8"?>
<sst xmlns="http://schemas.openxmlformats.org/spreadsheetml/2006/main" count="1118" uniqueCount="492">
  <si>
    <t>wingspan</t>
  </si>
  <si>
    <t>height</t>
  </si>
  <si>
    <t>height (in)</t>
  </si>
  <si>
    <t>wingspan (in)</t>
  </si>
  <si>
    <t>reach</t>
  </si>
  <si>
    <t>reach (in)</t>
  </si>
  <si>
    <t>Ape</t>
  </si>
  <si>
    <t>grade</t>
  </si>
  <si>
    <t>name</t>
  </si>
  <si>
    <t>espn</t>
  </si>
  <si>
    <t>me</t>
  </si>
  <si>
    <t>position</t>
  </si>
  <si>
    <t>C</t>
  </si>
  <si>
    <t>PF</t>
  </si>
  <si>
    <t>SF</t>
  </si>
  <si>
    <t>PG</t>
  </si>
  <si>
    <t>SG</t>
  </si>
  <si>
    <t>school</t>
  </si>
  <si>
    <t>Grade</t>
  </si>
  <si>
    <t>Freshman</t>
  </si>
  <si>
    <t>birthday</t>
  </si>
  <si>
    <t>Florida State</t>
  </si>
  <si>
    <t>POS</t>
  </si>
  <si>
    <t>BODY FAT %</t>
  </si>
  <si>
    <t>HAND LENGTH (INCHES)</t>
  </si>
  <si>
    <t>HAND WIDTH (INCHES)</t>
  </si>
  <si>
    <t>HEIGHT W/O SHOES</t>
  </si>
  <si>
    <t>HEIGHT W/ SHOES</t>
  </si>
  <si>
    <t>STANDING REACH</t>
  </si>
  <si>
    <t>WEIGHT (LBS)</t>
  </si>
  <si>
    <t>WINGSPAN</t>
  </si>
  <si>
    <t>-</t>
  </si>
  <si>
    <t>nba_link</t>
  </si>
  <si>
    <t>ref_link</t>
  </si>
  <si>
    <t>ringer</t>
  </si>
  <si>
    <t>PLAYER (https://nbadraft.theringer.com/)</t>
  </si>
  <si>
    <t>++</t>
  </si>
  <si>
    <t>+</t>
  </si>
  <si>
    <t>--</t>
  </si>
  <si>
    <t>Ape Formula</t>
  </si>
  <si>
    <t>weight</t>
  </si>
  <si>
    <t>Pick</t>
  </si>
  <si>
    <t>Player</t>
  </si>
  <si>
    <t>Team</t>
  </si>
  <si>
    <t>Board</t>
  </si>
  <si>
    <t>Tier</t>
  </si>
  <si>
    <t>Value</t>
  </si>
  <si>
    <t>Pos</t>
  </si>
  <si>
    <t>pick</t>
  </si>
  <si>
    <t>team</t>
  </si>
  <si>
    <t>Value2</t>
  </si>
  <si>
    <t>RaiQuan Gray</t>
  </si>
  <si>
    <t>6'6.5''</t>
  </si>
  <si>
    <t>6'7.75''</t>
  </si>
  <si>
    <t>8'9.0''</t>
  </si>
  <si>
    <t>6'10.75''</t>
  </si>
  <si>
    <t>Matt Hurt</t>
  </si>
  <si>
    <t>6'8.5''</t>
  </si>
  <si>
    <t>6'9.5''</t>
  </si>
  <si>
    <t>8'10.5''</t>
  </si>
  <si>
    <t>Makur Maker</t>
  </si>
  <si>
    <t>6'10.25''</t>
  </si>
  <si>
    <t>6'11.25''</t>
  </si>
  <si>
    <t>9'4.0''</t>
  </si>
  <si>
    <t>7'1.75''</t>
  </si>
  <si>
    <t>Isaiah Mobley</t>
  </si>
  <si>
    <t>6'8.0''</t>
  </si>
  <si>
    <t>6'9.75''</t>
  </si>
  <si>
    <t>8'11.5''</t>
  </si>
  <si>
    <t>7'3.0''</t>
  </si>
  <si>
    <t>Daishen Nix</t>
  </si>
  <si>
    <t>6'3.0''</t>
  </si>
  <si>
    <t>6'4.25''</t>
  </si>
  <si>
    <t>8'4.0''</t>
  </si>
  <si>
    <t>6'6.75''</t>
  </si>
  <si>
    <t>Luka Garza</t>
  </si>
  <si>
    <t>6'10.0''</t>
  </si>
  <si>
    <t>7'1.5''</t>
  </si>
  <si>
    <t>Austin Reaves</t>
  </si>
  <si>
    <t>6'4.5''</t>
  </si>
  <si>
    <t>6'5.75''</t>
  </si>
  <si>
    <t>8'5.0''</t>
  </si>
  <si>
    <t>6'6.25''</t>
  </si>
  <si>
    <t>Trendon Watford</t>
  </si>
  <si>
    <t>6'7.5''</t>
  </si>
  <si>
    <t>6'8.75''</t>
  </si>
  <si>
    <t>7'2.25''</t>
  </si>
  <si>
    <t>Isaiah Livers</t>
  </si>
  <si>
    <t>6'7.25''</t>
  </si>
  <si>
    <t>8'8.5''</t>
  </si>
  <si>
    <t>6'9.25''</t>
  </si>
  <si>
    <t>Jeremiah Robinson-Earl</t>
  </si>
  <si>
    <t>6'9.0''</t>
  </si>
  <si>
    <t>8'9.5''</t>
  </si>
  <si>
    <t>Ariel Hukporti</t>
  </si>
  <si>
    <t>7'0.0''</t>
  </si>
  <si>
    <t>9'3.5''</t>
  </si>
  <si>
    <t>7'2.5''</t>
  </si>
  <si>
    <t>Trey Murphy III</t>
  </si>
  <si>
    <t>Johnny Juzang</t>
  </si>
  <si>
    <t>6'5.5''</t>
  </si>
  <si>
    <t>6'7.0''</t>
  </si>
  <si>
    <t>8'4.5''</t>
  </si>
  <si>
    <t>6'10.5''</t>
  </si>
  <si>
    <t>Julian Champagnie</t>
  </si>
  <si>
    <t>Sam Hauser</t>
  </si>
  <si>
    <t>8'6.0''</t>
  </si>
  <si>
    <t>Sandro Mamukelashvili</t>
  </si>
  <si>
    <t>7'1.25''</t>
  </si>
  <si>
    <t>Neemias Queta</t>
  </si>
  <si>
    <t>7'0.5''</t>
  </si>
  <si>
    <t>9'4.5''</t>
  </si>
  <si>
    <t>7'4.0''</t>
  </si>
  <si>
    <t>Marcus Bagley</t>
  </si>
  <si>
    <t>6'6.0''</t>
  </si>
  <si>
    <t>8'6.5''</t>
  </si>
  <si>
    <t>6'11.0''</t>
  </si>
  <si>
    <t>David Johnson</t>
  </si>
  <si>
    <t>6'3.25''</t>
  </si>
  <si>
    <t>6'4.75''</t>
  </si>
  <si>
    <t>8'8.0''</t>
  </si>
  <si>
    <t>Marcus Zegarowski</t>
  </si>
  <si>
    <t>6'0.75''</t>
  </si>
  <si>
    <t>6'2.0''</t>
  </si>
  <si>
    <t>8'0.0''</t>
  </si>
  <si>
    <t>6'2.75''</t>
  </si>
  <si>
    <t>Roko Prkacin</t>
  </si>
  <si>
    <t>8'11.0''</t>
  </si>
  <si>
    <t>Moses Moody</t>
  </si>
  <si>
    <t>7'0.75''</t>
  </si>
  <si>
    <t>Corey Kispert</t>
  </si>
  <si>
    <t>Terrence Shannon Jr.</t>
  </si>
  <si>
    <t>6'8.25''</t>
  </si>
  <si>
    <t>McKinley Wright IV</t>
  </si>
  <si>
    <t>5'11.25''</t>
  </si>
  <si>
    <t>6'0.25''</t>
  </si>
  <si>
    <t>7'10.0''</t>
  </si>
  <si>
    <t>6'5.25''</t>
  </si>
  <si>
    <t>Quentin Grimes</t>
  </si>
  <si>
    <t>6'4.0''</t>
  </si>
  <si>
    <t>Justin Champagnie</t>
  </si>
  <si>
    <t>Joshua Primo</t>
  </si>
  <si>
    <t>6'5.0''</t>
  </si>
  <si>
    <t>Jaden Springer</t>
  </si>
  <si>
    <t>8'3.0''</t>
  </si>
  <si>
    <t>Isaiah Todd</t>
  </si>
  <si>
    <t>Davion Mitchell</t>
  </si>
  <si>
    <t>6'0.0''</t>
  </si>
  <si>
    <t>6'1.25''</t>
  </si>
  <si>
    <t>8'0.5''</t>
  </si>
  <si>
    <t>JT Thor</t>
  </si>
  <si>
    <t>9'2.0''</t>
  </si>
  <si>
    <t>7'3.25''</t>
  </si>
  <si>
    <t>Brandon Boston Jr.</t>
  </si>
  <si>
    <t>Miles McBride</t>
  </si>
  <si>
    <t>6'1.0''</t>
  </si>
  <si>
    <t>6'2.5''</t>
  </si>
  <si>
    <t>8'3.5''</t>
  </si>
  <si>
    <t>Charles Bassey</t>
  </si>
  <si>
    <t>David Duke Jr.</t>
  </si>
  <si>
    <t>Herbert Jones</t>
  </si>
  <si>
    <t>8'10.0''</t>
  </si>
  <si>
    <t>7'0.25''</t>
  </si>
  <si>
    <t>Josh Christopher</t>
  </si>
  <si>
    <t>Nah'Shon Hyland</t>
  </si>
  <si>
    <t>6'3.5''</t>
  </si>
  <si>
    <t>8'5.5''</t>
  </si>
  <si>
    <t>Moses Wright</t>
  </si>
  <si>
    <t>Aaron Henry</t>
  </si>
  <si>
    <t>8'7.5''</t>
  </si>
  <si>
    <t>John Petty Jr.</t>
  </si>
  <si>
    <t>Jericho Sims</t>
  </si>
  <si>
    <t>Greg Brown III</t>
  </si>
  <si>
    <t>James Bouknight</t>
  </si>
  <si>
    <t>Max Abmas</t>
  </si>
  <si>
    <t>5'10.5''</t>
  </si>
  <si>
    <t>5'11.75''</t>
  </si>
  <si>
    <t>6'1.75''</t>
  </si>
  <si>
    <t>Jason Preston</t>
  </si>
  <si>
    <t>Scottie Barnes</t>
  </si>
  <si>
    <t>9'0.0''</t>
  </si>
  <si>
    <t>7'2.75''</t>
  </si>
  <si>
    <t>Duane Washington Jr.</t>
  </si>
  <si>
    <t>6'2.25''</t>
  </si>
  <si>
    <t>6'3.75''</t>
  </si>
  <si>
    <t>Jared Butler</t>
  </si>
  <si>
    <t>8'2.5''</t>
  </si>
  <si>
    <t>Aaron Wiggins</t>
  </si>
  <si>
    <t>SG-SF</t>
  </si>
  <si>
    <t>8'7.0''</t>
  </si>
  <si>
    <t>DJ Steward</t>
  </si>
  <si>
    <t>Ayo Dosunmu</t>
  </si>
  <si>
    <t>Kai Jones</t>
  </si>
  <si>
    <t>6'11.5''</t>
  </si>
  <si>
    <t>9'2.5''</t>
  </si>
  <si>
    <t>Scottie Lewis</t>
  </si>
  <si>
    <t>Jalen Johnson</t>
  </si>
  <si>
    <t>Carlik Jones</t>
  </si>
  <si>
    <t>8'1.5''</t>
  </si>
  <si>
    <t>Ziaire Williams</t>
  </si>
  <si>
    <t>Keon Johnson</t>
  </si>
  <si>
    <t>8'1.0''</t>
  </si>
  <si>
    <t>AJ Lawson</t>
  </si>
  <si>
    <t>Kessler Edwards</t>
  </si>
  <si>
    <t>Ochai Agbaji</t>
  </si>
  <si>
    <t>Joe Wieskamp</t>
  </si>
  <si>
    <t>Tre Mann</t>
  </si>
  <si>
    <t>Yves Pons</t>
  </si>
  <si>
    <t>Sharife Cooper</t>
  </si>
  <si>
    <t>Cade Cunningham</t>
  </si>
  <si>
    <t>Jalen Green</t>
  </si>
  <si>
    <t>Isaiah Jackson</t>
  </si>
  <si>
    <t>Jonathan Kuminga</t>
  </si>
  <si>
    <t>Matthew Mayer</t>
  </si>
  <si>
    <t>Evan Mobley</t>
  </si>
  <si>
    <t>Day'Ron Sharpe</t>
  </si>
  <si>
    <t>nbadraft_link</t>
  </si>
  <si>
    <t>hollinger</t>
  </si>
  <si>
    <t>zamir_tier</t>
  </si>
  <si>
    <t>zamir_rank</t>
  </si>
  <si>
    <t>Dean_tier</t>
  </si>
  <si>
    <t>Dean_rank</t>
  </si>
  <si>
    <t>Alperen Sengun</t>
  </si>
  <si>
    <t>Jalen Suggs</t>
  </si>
  <si>
    <t>Franz Wagner</t>
  </si>
  <si>
    <t>Josh Giddey</t>
  </si>
  <si>
    <t>Usman Garuba</t>
  </si>
  <si>
    <t>Chris Duarte</t>
  </si>
  <si>
    <t>Santi Aldama</t>
  </si>
  <si>
    <t>Rokas Jokubaitis</t>
  </si>
  <si>
    <t>Aamir Simms</t>
  </si>
  <si>
    <t>Chris Smith</t>
  </si>
  <si>
    <t>Yoan Makoundou</t>
  </si>
  <si>
    <t>Juhann Begarin</t>
  </si>
  <si>
    <t>Balsa Koprivica</t>
  </si>
  <si>
    <t>Alan Griffin</t>
  </si>
  <si>
    <t>agg</t>
  </si>
  <si>
    <t>vec_tier</t>
  </si>
  <si>
    <t>vec_rank</t>
  </si>
  <si>
    <t>Filip Petrusev</t>
  </si>
  <si>
    <t>6'1</t>
  </si>
  <si>
    <t>6'8</t>
  </si>
  <si>
    <t>6'6</t>
  </si>
  <si>
    <t>6'10</t>
  </si>
  <si>
    <t>7'0</t>
  </si>
  <si>
    <t>6'11</t>
  </si>
  <si>
    <t>6'4</t>
  </si>
  <si>
    <t>6'9</t>
  </si>
  <si>
    <t>Joel Ayayi</t>
  </si>
  <si>
    <t>6'5</t>
  </si>
  <si>
    <t>Oklahoma State</t>
  </si>
  <si>
    <t>USC</t>
  </si>
  <si>
    <t>Gonzaga</t>
  </si>
  <si>
    <t>G League Ignite</t>
  </si>
  <si>
    <t>Besiktas</t>
  </si>
  <si>
    <t>Michigan</t>
  </si>
  <si>
    <t>Sophomore</t>
  </si>
  <si>
    <t>Arkansas</t>
  </si>
  <si>
    <t>Connecticut</t>
  </si>
  <si>
    <t>Duke</t>
  </si>
  <si>
    <t>Tennessee</t>
  </si>
  <si>
    <t>Baylor</t>
  </si>
  <si>
    <t>Junior</t>
  </si>
  <si>
    <t>Real Madrid</t>
  </si>
  <si>
    <t>Adelaide</t>
  </si>
  <si>
    <t>Senior</t>
  </si>
  <si>
    <t>Auburn</t>
  </si>
  <si>
    <t>Kentucky</t>
  </si>
  <si>
    <t>Stanford</t>
  </si>
  <si>
    <t>West Virginia</t>
  </si>
  <si>
    <t>LSU</t>
  </si>
  <si>
    <t>https://www.nba.com/draft/2021/prospects/trey-murphy</t>
  </si>
  <si>
    <t>Virginia</t>
  </si>
  <si>
    <t>Arizona State</t>
  </si>
  <si>
    <t>Oregon</t>
  </si>
  <si>
    <t>Texas</t>
  </si>
  <si>
    <t>https://www.nba.com/draft/2021/prospects/bones-hyland</t>
  </si>
  <si>
    <t>VCU</t>
  </si>
  <si>
    <t>Florida</t>
  </si>
  <si>
    <t>Alabama</t>
  </si>
  <si>
    <t>https://www.nba.com/draft/2021/prospects/bj-boston</t>
  </si>
  <si>
    <t>Illinois</t>
  </si>
  <si>
    <t>Iowa</t>
  </si>
  <si>
    <t>Ohio</t>
  </si>
  <si>
    <t>Loyola</t>
  </si>
  <si>
    <t>Michigan State</t>
  </si>
  <si>
    <t>https://www.nba.com/draft/2021/prospects/dayron-sharpe</t>
  </si>
  <si>
    <t>North Carolina</t>
  </si>
  <si>
    <t>Utah State</t>
  </si>
  <si>
    <t>Houston</t>
  </si>
  <si>
    <t>https://www.nba.com/draft/2021/prospects/greg-brown</t>
  </si>
  <si>
    <t>Zalgiris Kaunas</t>
  </si>
  <si>
    <t>Louisville</t>
  </si>
  <si>
    <t>Pittsburgh</t>
  </si>
  <si>
    <t>Villanova</t>
  </si>
  <si>
    <t>Pepperdine</t>
  </si>
  <si>
    <t>Georgia Tech</t>
  </si>
  <si>
    <t>Mega Soccerbet</t>
  </si>
  <si>
    <t>Western Kentucky</t>
  </si>
  <si>
    <t>Oklahoma</t>
  </si>
  <si>
    <t>Paris Basketball</t>
  </si>
  <si>
    <t>https://www.nba.com/draft/2021/prospects/david-duke</t>
  </si>
  <si>
    <t>Providence</t>
  </si>
  <si>
    <t>Colorado</t>
  </si>
  <si>
    <t>https://www.nba.com/draft/2021/prospects/a-j-lawson</t>
  </si>
  <si>
    <t>South Carolina</t>
  </si>
  <si>
    <t>https://www.nba.com/draft/2021/prospects/matthew-hurt</t>
  </si>
  <si>
    <t>Maryland</t>
  </si>
  <si>
    <t>Seton Hall</t>
  </si>
  <si>
    <t>Creighton</t>
  </si>
  <si>
    <t>https://www.nba.com/draft/2021/prospects/john-petty</t>
  </si>
  <si>
    <t>Syracuse</t>
  </si>
  <si>
    <t>frame, shooting</t>
  </si>
  <si>
    <t>notes</t>
  </si>
  <si>
    <t>dribble penetration, playmaking</t>
  </si>
  <si>
    <t>on-ball defense</t>
  </si>
  <si>
    <t>length, mobility at 7'0</t>
  </si>
  <si>
    <t>rim protection while limiting fouls, scoring touch, playmaking</t>
  </si>
  <si>
    <t>thin frame, may need to play next to a second big, shooting</t>
  </si>
  <si>
    <t>age</t>
  </si>
  <si>
    <t>age, dribble penetration, playmaking, motor</t>
  </si>
  <si>
    <t>frame, defensive versatility</t>
  </si>
  <si>
    <t>shooting</t>
  </si>
  <si>
    <t>age, shot creation</t>
  </si>
  <si>
    <t>F-C</t>
  </si>
  <si>
    <t>W</t>
  </si>
  <si>
    <t>Is he a stretch-5 who can't shoot, or are his wing skills enough to make him a mismatch nightmare?</t>
  </si>
  <si>
    <t>Shooting+switchable defensive profile creates highly scalable profile, a 'souped up 3&amp;D' prospect, but may not excel if given the reigns as a lone shot creating alpha dog</t>
  </si>
  <si>
    <t xml:space="preserve">IQ, </t>
  </si>
  <si>
    <t>shot creation, shooting</t>
  </si>
  <si>
    <t>playmaking, point guard defense</t>
  </si>
  <si>
    <t>athleticism</t>
  </si>
  <si>
    <t>age, shooting</t>
  </si>
  <si>
    <t>playmaking, frame, IQ</t>
  </si>
  <si>
    <t>on- and off-ball defense, IQ</t>
  </si>
  <si>
    <t>age for a sophomore, passing</t>
  </si>
  <si>
    <t>athleticism, offensive skill</t>
  </si>
  <si>
    <t>statistical production</t>
  </si>
  <si>
    <t>defensive impact, size/athleticism as lone big</t>
  </si>
  <si>
    <t>age, all-around offensive game, rebounding, IQ</t>
  </si>
  <si>
    <t>https://www.basketball-reference.com/gleague/players/g/greenja02d.html</t>
  </si>
  <si>
    <t>https://www.basketball-reference.com/gleague/players/k/kuminjo01d.html</t>
  </si>
  <si>
    <t>age, physical profile</t>
  </si>
  <si>
    <t>athleticism, shot creation</t>
  </si>
  <si>
    <t>shooting, IQ, motor</t>
  </si>
  <si>
    <t>rebounding</t>
  </si>
  <si>
    <t>defense, athleticism, shot creation</t>
  </si>
  <si>
    <t>age, height, passing</t>
  </si>
  <si>
    <t xml:space="preserve">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t>
  </si>
  <si>
    <t>A 'boring' prospect, without any standout incredible skills, but good at everything and a safe bet to be a floor-general top-12 point guard in the league</t>
  </si>
  <si>
    <t>A very safe prospect as a valuable role player in a highly valued, easily scalable, portable archtype, but lacks star upside</t>
  </si>
  <si>
    <t>The youngest prospect in the top two tiers, he also requires the most projection but also the highest liklihood of becoming the engine of a high functioning offense</t>
  </si>
  <si>
    <t>The best statistical profile in the class, but question marks surrounding whether he can stay on the floor defensively against playoff opponents while playing the most demanding defensive position</t>
  </si>
  <si>
    <t>Potentially the best physical profile in the class, but also the most 'huh?' type plays that can weigh a team down</t>
  </si>
  <si>
    <t>The best passer in the class while also standing 6'8 and holding their own in a high level league should make a shoo-in for the top tier. Unfortunately, the lack of shooting and defensive limitations are two major red flags</t>
  </si>
  <si>
    <t>G-W</t>
  </si>
  <si>
    <t>age, shooting, length, rebounding, foul drawing, defensive versatility</t>
  </si>
  <si>
    <t>defensive impact, offensive skill</t>
  </si>
  <si>
    <t>shot creation, athleticism</t>
  </si>
  <si>
    <t>playmaking, frame, defense</t>
  </si>
  <si>
    <t>Gets buckets, doesn't do a hell of a lot else</t>
  </si>
  <si>
    <t>F</t>
  </si>
  <si>
    <t>https://www.sports-reference.com/cbb/players/jalen-johnson-24.html</t>
  </si>
  <si>
    <t>size, point-forward capabilities, impact off-ball defense</t>
  </si>
  <si>
    <t>turnover concerns, shooting, motor, consistency</t>
  </si>
  <si>
    <t>Would rank higher based on skills, but consistency on and off the court drag him down</t>
  </si>
  <si>
    <t>size, athleticism</t>
  </si>
  <si>
    <t>G</t>
  </si>
  <si>
    <t>size, athleticism, shot creation, interior finishing</t>
  </si>
  <si>
    <t>guard defense, foul drawing, shooting</t>
  </si>
  <si>
    <t>https://www.sports-reference.com/cbb/players/keon-johnson-2.html</t>
  </si>
  <si>
    <t>athletcism</t>
  </si>
  <si>
    <t>age, usage</t>
  </si>
  <si>
    <t>size, shot seletion, shooting, decision making</t>
  </si>
  <si>
    <t>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t>
  </si>
  <si>
    <t>Ideally fits next to a high usage point guard where he can operate as an off ball shooter/secondary ball-handler, while taking on the tougher defensive assignment</t>
  </si>
  <si>
    <t>Not a lot of production nor a lot of refined skill, so you're betting on the athleticism…luckily he's a raw nuclear athlete so there's room to dream.</t>
  </si>
  <si>
    <t>size</t>
  </si>
  <si>
    <t>on-ball guard defense, interior finishing, shot creation</t>
  </si>
  <si>
    <t>age, height</t>
  </si>
  <si>
    <t>single season outlier performance, foul drawing, shooting</t>
  </si>
  <si>
    <t>shooting, playmaking, IQ</t>
  </si>
  <si>
    <t>motor</t>
  </si>
  <si>
    <t>defensive versatility</t>
  </si>
  <si>
    <t>size, shooting</t>
  </si>
  <si>
    <t>age, wingspan</t>
  </si>
  <si>
    <t>age, wingspan, shot creation, athleticism</t>
  </si>
  <si>
    <t>height, strength, IQ</t>
  </si>
  <si>
    <t>age, size, defense</t>
  </si>
  <si>
    <t>shot creation, playmaking</t>
  </si>
  <si>
    <t>foul drawing</t>
  </si>
  <si>
    <t>https://www.sports-reference.com/cbb/players/isaiah-jackson-3.html</t>
  </si>
  <si>
    <t>rim protection</t>
  </si>
  <si>
    <t>foul happy, chases blocks</t>
  </si>
  <si>
    <t>athleticism, lob finishing</t>
  </si>
  <si>
    <t>pedigree, height, athleticism, shot creation</t>
  </si>
  <si>
    <t>https://www.sports-reference.com/cbb/players/brandon-bostonjr-1.html</t>
  </si>
  <si>
    <t>https://www.nbadraft.net/players/brandon-boston/</t>
  </si>
  <si>
    <t>pedigree, shot creation</t>
  </si>
  <si>
    <t>shot selection, weight</t>
  </si>
  <si>
    <t>height, shot creation</t>
  </si>
  <si>
    <t>wingspan, shooting, playmaking, guard defense</t>
  </si>
  <si>
    <t>Cameron Thomas</t>
  </si>
  <si>
    <t>passing, decision making, defense</t>
  </si>
  <si>
    <t>all aspects of scoring, frame</t>
  </si>
  <si>
    <t>https://www.nbadraft.net/players/trey-murphy</t>
  </si>
  <si>
    <t>https://www.sports-reference.com/cbb/players/trey-murphyiii-1.html</t>
  </si>
  <si>
    <t>strength, shot creation, movement shooting</t>
  </si>
  <si>
    <t>height, defense, shooting</t>
  </si>
  <si>
    <t>agg_rank</t>
  </si>
  <si>
    <t>defensive upside, athleticism, individual shot creation</t>
  </si>
  <si>
    <t>defensive consistency, shooting</t>
  </si>
  <si>
    <t>shooting, finishing, off-ball defense</t>
  </si>
  <si>
    <t>switchability</t>
  </si>
  <si>
    <t>lob thread, mobility</t>
  </si>
  <si>
    <t>frame, hands, shooting</t>
  </si>
  <si>
    <t>height, wingspan, athleticism, shot blocking</t>
  </si>
  <si>
    <t>skill refinement, IQ</t>
  </si>
  <si>
    <t>https://www.sports-reference.com/cbb/players/nahshon-hyland-1.html</t>
  </si>
  <si>
    <t>shooting, wingspan</t>
  </si>
  <si>
    <t>size, athleticism, defense</t>
  </si>
  <si>
    <t>handle, shot creation</t>
  </si>
  <si>
    <t>https://www.nbadraft.net/players/herb-jones/</t>
  </si>
  <si>
    <t>W-F</t>
  </si>
  <si>
    <t>https://www.sports-reference.com/cbb/players/herb-jones-3.html</t>
  </si>
  <si>
    <t>frame</t>
  </si>
  <si>
    <t>defensive versatility, passing</t>
  </si>
  <si>
    <t>shooting, finishing</t>
  </si>
  <si>
    <t>wingspan, frame, IQ</t>
  </si>
  <si>
    <t>shooting, athleticism, wingspan</t>
  </si>
  <si>
    <t>defense, shot creation</t>
  </si>
  <si>
    <t>shooting, length</t>
  </si>
  <si>
    <t>athleticism, playmaking</t>
  </si>
  <si>
    <t>foul drawing, defense, shot creation</t>
  </si>
  <si>
    <t>wingspan, rebounding, finishing, passing, IQ</t>
  </si>
  <si>
    <t xml:space="preserve">size, ball skills, </t>
  </si>
  <si>
    <t>strength, athleticism, shooting, quality of competition</t>
  </si>
  <si>
    <t>frame, on-ball defensive versatility</t>
  </si>
  <si>
    <t>https://www.sports-reference.com/cbb/players/dayron-sharpe-1.html</t>
  </si>
  <si>
    <t>https://www.basketball-reference.com/gleague/players/t/toddis01d.html</t>
  </si>
  <si>
    <t>age, physicality</t>
  </si>
  <si>
    <t>size, interior defense, passing, motor</t>
  </si>
  <si>
    <t>mobility, role</t>
  </si>
  <si>
    <t>HM.</t>
  </si>
  <si>
    <t>https://www.sports-reference.com/cbb/players/greg-brown-9.html</t>
  </si>
  <si>
    <t>https://www.nbadraft.net/players/greg-brown</t>
  </si>
  <si>
    <t>https://www.sports-reference.com/cbb/players/david-johnson-13.html</t>
  </si>
  <si>
    <t>Clemson</t>
  </si>
  <si>
    <t>https://www.sports-reference.com/cbb/players/david-duke-1.html</t>
  </si>
  <si>
    <t>https://www.nbadraft.net/players/david-duke/</t>
  </si>
  <si>
    <t>https://www.basketball-reference.com/gleague/players/n/nixda01d.html</t>
  </si>
  <si>
    <t>https://www.sports-reference.com/cbb/players/mckinley-wrightiv-1.html</t>
  </si>
  <si>
    <t>https://www.nbadraft.net/players/mckinley-wright/</t>
  </si>
  <si>
    <t>https://www.sports-reference.com/cbb/players/matthew-hurt-1.html</t>
  </si>
  <si>
    <t>https://www.nbadraft.net/players/matthew-hurt/</t>
  </si>
  <si>
    <t>UCLA</t>
  </si>
  <si>
    <t>https://www.sports-reference.com/cbb/players/chris-smith-19.html</t>
  </si>
  <si>
    <t>https://www.nbadraft.net/players/duane-washington/</t>
  </si>
  <si>
    <t>https://www.sports-reference.com/cbb/players/duane-washingtonjr-1.html</t>
  </si>
  <si>
    <t>Ohio State</t>
  </si>
  <si>
    <t>https://www.sports-reference.com/cbb/players/john-petty-2.html</t>
  </si>
  <si>
    <t>https://www.nbadraft.net/players/john-petty/</t>
  </si>
  <si>
    <t>DET</t>
  </si>
  <si>
    <t>HOU</t>
  </si>
  <si>
    <t>CLE</t>
  </si>
  <si>
    <t>TOR</t>
  </si>
  <si>
    <t>ORL</t>
  </si>
  <si>
    <t>OKC</t>
  </si>
  <si>
    <t>GSW</t>
  </si>
  <si>
    <t>SAC</t>
  </si>
  <si>
    <t>MEM</t>
  </si>
  <si>
    <t>CHA</t>
  </si>
  <si>
    <t>SAS</t>
  </si>
  <si>
    <t>IND</t>
  </si>
  <si>
    <t>WAS</t>
  </si>
  <si>
    <t>ATL</t>
  </si>
  <si>
    <t>LAC</t>
  </si>
  <si>
    <t>NYK</t>
  </si>
  <si>
    <t>DEN</t>
  </si>
  <si>
    <t>BRK</t>
  </si>
  <si>
    <t>PHI</t>
  </si>
  <si>
    <t>PHX</t>
  </si>
  <si>
    <t>UTA</t>
  </si>
  <si>
    <t>NOP</t>
  </si>
  <si>
    <t>CHI</t>
  </si>
  <si>
    <t>POR</t>
  </si>
  <si>
    <t>BOS</t>
  </si>
  <si>
    <t>Dalano Banton</t>
  </si>
  <si>
    <t>MIL</t>
  </si>
  <si>
    <t>Jerich Sims</t>
  </si>
  <si>
    <t>Raiquen Gray</t>
  </si>
  <si>
    <t>Georgias Kalaitzakis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</si>
</sst>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4" x14ac:knownFonts="1">
    <font>
      <sz val="12"/>
      <color theme="1"/>
      <name val="Calibri"/>
      <family val="2"/>
      <scheme val="minor"/>
    </font>
    <font>
      <u/>
      <sz val="12"/>
      <color theme="10"/>
      <name val="Calibri"/>
      <family val="2"/>
      <scheme val="minor"/>
    </font>
    <font>
      <sz val="8"/>
      <name val="Verdana"/>
      <family val="2"/>
    </font>
    <font>
      <i/>
      <sz val="12"/>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92D05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10" fontId="0" fillId="0" borderId="0" xfId="0" applyNumberFormat="1"/>
    <xf numFmtId="0" fontId="0" fillId="2" borderId="0" xfId="0" applyFill="1"/>
    <xf numFmtId="0" fontId="0" fillId="0" borderId="0" xfId="0" applyAlignment="1">
      <alignment shrinkToFit="1"/>
    </xf>
    <xf numFmtId="0" fontId="1" fillId="0" borderId="0" xfId="1" applyAlignment="1">
      <alignment shrinkToFit="1"/>
    </xf>
    <xf numFmtId="0" fontId="0" fillId="0" borderId="0" xfId="0" applyNumberFormat="1"/>
    <xf numFmtId="0" fontId="0" fillId="0" borderId="0" xfId="0" quotePrefix="1" applyAlignment="1">
      <alignment shrinkToFit="1"/>
    </xf>
    <xf numFmtId="1" fontId="0" fillId="0" borderId="0" xfId="0" applyNumberFormat="1" applyAlignment="1">
      <alignment shrinkToFit="1"/>
    </xf>
    <xf numFmtId="0" fontId="0" fillId="2" borderId="0" xfId="0" applyFill="1" applyAlignment="1">
      <alignment shrinkToFit="1"/>
    </xf>
    <xf numFmtId="14" fontId="0" fillId="2" borderId="0" xfId="0" applyNumberFormat="1" applyFill="1" applyAlignment="1">
      <alignment shrinkToFit="1"/>
    </xf>
    <xf numFmtId="2" fontId="0" fillId="2" borderId="0" xfId="0" applyNumberFormat="1" applyFill="1" applyAlignment="1">
      <alignment shrinkToFit="1"/>
    </xf>
    <xf numFmtId="164" fontId="0" fillId="0" borderId="0" xfId="0" applyNumberFormat="1" applyFill="1"/>
    <xf numFmtId="165" fontId="0" fillId="2" borderId="0" xfId="0" applyNumberFormat="1" applyFill="1"/>
    <xf numFmtId="2" fontId="0" fillId="0" borderId="0" xfId="0" applyNumberFormat="1" applyFill="1"/>
    <xf numFmtId="1" fontId="0" fillId="0" borderId="0" xfId="0" applyNumberFormat="1" applyFill="1"/>
    <xf numFmtId="0" fontId="0" fillId="0" borderId="0" xfId="0" applyNumberFormat="1" applyFill="1"/>
    <xf numFmtId="0" fontId="0" fillId="0" borderId="0" xfId="0" applyFill="1" applyAlignment="1">
      <alignment shrinkToFit="1"/>
    </xf>
    <xf numFmtId="0" fontId="1" fillId="3" borderId="0" xfId="1" applyFill="1" applyAlignment="1">
      <alignment shrinkToFit="1"/>
    </xf>
    <xf numFmtId="0" fontId="1" fillId="2" borderId="0" xfId="1" applyFill="1" applyAlignment="1">
      <alignment shrinkToFit="1"/>
    </xf>
    <xf numFmtId="0" fontId="3" fillId="0" borderId="0" xfId="0" applyFont="1" applyAlignment="1"/>
  </cellXfs>
  <cellStyles count="2">
    <cellStyle name="Hyperlink" xfId="1" builtinId="8"/>
    <cellStyle name="Normal" xfId="0" builtinId="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80"/>
  <sheetViews>
    <sheetView tabSelected="1" workbookViewId="0">
      <pane xSplit="2" ySplit="2" topLeftCell="C3" activePane="bottomRight" state="frozen"/>
      <selection pane="topRight" activeCell="C1" sqref="C1"/>
      <selection pane="bottomLeft" activeCell="A2" sqref="A2"/>
      <selection pane="bottomRight" activeCell="R5" sqref="R5"/>
    </sheetView>
  </sheetViews>
  <sheetFormatPr baseColWidth="10" defaultRowHeight="22" customHeight="1" x14ac:dyDescent="0.2"/>
  <cols>
    <col min="1" max="1" width="22.1640625" style="3" bestFit="1" customWidth="1"/>
    <col min="2" max="2" width="10.1640625" style="16" customWidth="1"/>
    <col min="3" max="3" width="17" style="3" customWidth="1"/>
    <col min="4" max="4" width="10.5" style="3" customWidth="1"/>
    <col min="5" max="5" width="6.6640625" style="10" customWidth="1"/>
    <col min="6" max="10" width="6" style="8" customWidth="1"/>
    <col min="11" max="11" width="6" style="10" customWidth="1"/>
    <col min="12" max="16" width="8.33203125" style="3" customWidth="1"/>
    <col min="17" max="17" width="8.33203125" style="7" customWidth="1"/>
    <col min="18" max="18" width="6.33203125" style="3" customWidth="1"/>
    <col min="19" max="19" width="6.33203125" style="8" customWidth="1"/>
    <col min="20" max="20" width="6.83203125" style="8" customWidth="1"/>
    <col min="21" max="21" width="8" style="8" customWidth="1"/>
    <col min="22" max="23" width="21.83203125" style="3" customWidth="1"/>
    <col min="24" max="24" width="27.33203125" style="8" customWidth="1"/>
    <col min="25" max="25" width="10.33203125" style="11" customWidth="1"/>
    <col min="26" max="26" width="10.33203125" style="14" customWidth="1"/>
    <col min="27" max="27" width="10.33203125" style="13" customWidth="1"/>
    <col min="28" max="28" width="10.33203125" style="14" customWidth="1"/>
    <col min="29" max="29" width="7.83203125" style="14" customWidth="1"/>
    <col min="30" max="30" width="10.33203125" style="14" customWidth="1"/>
    <col min="31" max="31" width="8.33203125" style="14" customWidth="1"/>
    <col min="32" max="35" width="7.83203125" style="14" customWidth="1"/>
    <col min="36" max="36" width="7.5" style="14" customWidth="1"/>
    <col min="37" max="38" width="8.83203125" style="2" customWidth="1"/>
    <col min="39" max="39" width="11.5" style="2" customWidth="1"/>
    <col min="40" max="40" width="8.1640625" style="2" customWidth="1"/>
    <col min="41" max="42" width="10.83203125" customWidth="1"/>
  </cols>
  <sheetData>
    <row r="1" spans="1:41" ht="22" customHeight="1" x14ac:dyDescent="0.2">
      <c r="A1" s="19" t="str">
        <f>LOOKUP(2,1/(AO:AO&lt;&gt;""),AO:AO)</f>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2" spans="1:41" ht="22" customHeight="1" x14ac:dyDescent="0.2">
      <c r="A2" s="16" t="s">
        <v>8</v>
      </c>
      <c r="B2" s="16" t="s">
        <v>11</v>
      </c>
      <c r="C2" s="3" t="s">
        <v>17</v>
      </c>
      <c r="D2" s="3" t="s">
        <v>18</v>
      </c>
      <c r="E2" s="9">
        <v>44367</v>
      </c>
      <c r="F2" s="8" t="s">
        <v>2</v>
      </c>
      <c r="G2" s="8" t="s">
        <v>40</v>
      </c>
      <c r="H2" s="8" t="s">
        <v>3</v>
      </c>
      <c r="I2" s="8" t="s">
        <v>5</v>
      </c>
      <c r="J2" s="8" t="s">
        <v>6</v>
      </c>
      <c r="K2" s="10" t="s">
        <v>39</v>
      </c>
      <c r="L2" s="6" t="s">
        <v>36</v>
      </c>
      <c r="M2" s="6" t="s">
        <v>37</v>
      </c>
      <c r="N2" s="6" t="s">
        <v>31</v>
      </c>
      <c r="O2" s="6" t="s">
        <v>38</v>
      </c>
      <c r="P2" s="6" t="s">
        <v>313</v>
      </c>
      <c r="Q2" s="7" t="s">
        <v>7</v>
      </c>
      <c r="R2" s="3" t="s">
        <v>10</v>
      </c>
      <c r="T2" s="8" t="s">
        <v>48</v>
      </c>
      <c r="U2" s="8" t="s">
        <v>49</v>
      </c>
      <c r="V2" s="3" t="s">
        <v>33</v>
      </c>
      <c r="W2" s="3" t="s">
        <v>216</v>
      </c>
      <c r="X2" s="8" t="s">
        <v>32</v>
      </c>
      <c r="Y2" s="11" t="s">
        <v>20</v>
      </c>
      <c r="Z2" s="14" t="s">
        <v>409</v>
      </c>
      <c r="AA2" s="13" t="s">
        <v>236</v>
      </c>
      <c r="AB2" s="14" t="s">
        <v>217</v>
      </c>
      <c r="AC2" s="14" t="s">
        <v>221</v>
      </c>
      <c r="AD2" s="14" t="s">
        <v>220</v>
      </c>
      <c r="AE2" s="14" t="s">
        <v>219</v>
      </c>
      <c r="AF2" s="14" t="s">
        <v>218</v>
      </c>
      <c r="AG2" s="14" t="s">
        <v>34</v>
      </c>
      <c r="AH2" s="14" t="s">
        <v>238</v>
      </c>
      <c r="AI2" s="14" t="s">
        <v>237</v>
      </c>
      <c r="AJ2" s="14" t="s">
        <v>9</v>
      </c>
      <c r="AK2" s="2" t="s">
        <v>1</v>
      </c>
      <c r="AL2" s="2" t="s">
        <v>40</v>
      </c>
      <c r="AM2" s="2" t="s">
        <v>0</v>
      </c>
      <c r="AN2" s="2" t="s">
        <v>4</v>
      </c>
    </row>
    <row r="3" spans="1:41" ht="22" customHeight="1" x14ac:dyDescent="0.2">
      <c r="A3" t="s">
        <v>209</v>
      </c>
      <c r="B3" s="16" t="s">
        <v>15</v>
      </c>
      <c r="C3" s="3" t="s">
        <v>250</v>
      </c>
      <c r="D3" s="3" t="s">
        <v>19</v>
      </c>
      <c r="E3" s="10">
        <f>YEARFRAC(Y3, $E$2, 1)</f>
        <v>19.735071707953065</v>
      </c>
      <c r="F3" s="8">
        <f>IFERROR(LEFT(AK3,FIND("'",AK3)-1)*12+SUBSTITUTE(MID(AK3,FIND("'",AK3)+1,LEN(AK3)),"''",""), "")</f>
        <v>80</v>
      </c>
      <c r="G3" s="8">
        <f>AL3</f>
        <v>220</v>
      </c>
      <c r="H3" s="8" t="str">
        <f>IFERROR(LEFT(AM3,FIND("'",AM3)-1)*12+SUBSTITUTE(MID(AM3,FIND("'",AM3)+1,LEN(AM3)),"''",""), "")</f>
        <v/>
      </c>
      <c r="I3" s="8" t="str">
        <f>IFERROR(LEFT(AN3,FIND("'",AN3)-1)*12+SUBSTITUTE(MID(AN3,FIND("'",AN3)+1,LEN(AN3)),"''",""), "")</f>
        <v/>
      </c>
      <c r="J3" s="8" t="str">
        <f>IFERROR(IF(AND(H3-F3&gt;= 0, H3 &gt; 0), "+", ""),"") &amp; IFERROR(IF(AND(H3-F3&gt;= -5, H3 &gt; 0), H3-F3, ""),"")</f>
        <v/>
      </c>
      <c r="K3" s="10" t="str">
        <f>IF(F3&gt;0, IFERROR((H3-60)/(F3-60),""), "")</f>
        <v/>
      </c>
      <c r="L3" s="3" t="s">
        <v>312</v>
      </c>
      <c r="M3" s="3" t="s">
        <v>315</v>
      </c>
      <c r="N3" s="3" t="s">
        <v>320</v>
      </c>
      <c r="P3" s="3" t="s">
        <v>327</v>
      </c>
      <c r="Q3" s="7">
        <v>60</v>
      </c>
      <c r="R3" s="3">
        <f>IF(Q3="","",ROW()-2)</f>
        <v>1</v>
      </c>
      <c r="S3" s="8">
        <f>IF(Q3=Q2,S2, MAX(S$2:S2)+1)</f>
        <v>1</v>
      </c>
      <c r="T3" s="8">
        <f>IFERROR(INDEX(actual!A:A,MATCH(A3,actual!B:B,FALSE)), "")</f>
        <v>1</v>
      </c>
      <c r="U3" s="8" t="str">
        <f>IFERROR(INDEX(actual!C:C,MATCH(A3,actual!B:B,FALSE)), "")</f>
        <v>DET</v>
      </c>
      <c r="V3" s="4" t="str">
        <f>HYPERLINK(IF(D3="", "https://www.basketball-reference.com/international", "https://www.sports-reference.com/cbb") &amp; "/players/" &amp; LOWER(SUBSTITUTE(A3, " ", "-") &amp; "-1.html"))</f>
        <v>https://www.sports-reference.com/cbb/players/cade-cunningham-1.html</v>
      </c>
      <c r="W3" s="4" t="str">
        <f>HYPERLINK("https://www.nbadraft.net/players/" &amp; LOWER(SUBSTITUTE(A3, " ", "-") &amp; ""))</f>
        <v>https://www.nbadraft.net/players/cade-cunningham</v>
      </c>
      <c r="X3" s="18" t="str">
        <f>HYPERLINK("https://www.nba.com/draft/2021/prospects/" &amp; LOWER(SUBSTITUTE(A3, " ", "-") &amp; ""))</f>
        <v>https://www.nba.com/draft/2021/prospects/cade-cunningham</v>
      </c>
      <c r="Y3" s="11">
        <v>37159</v>
      </c>
      <c r="Z3" s="14">
        <f>RANK(AA3,AA:AA,1)</f>
        <v>1</v>
      </c>
      <c r="AA3" s="13">
        <f>IFERROR( (3*IF(AB3&gt;0,AB3, 76) + 2*IF(AC3&gt;0,AC3, 18) + 2*IF(AD3&gt;0,AD3, 5) + 2*IF(AE3&gt;0,AE3, 70) + 2*IF(AF3&gt;0,AF3, 7)  + IF(AG3&gt;0,AG3, 51) + IF(AI3&gt;0,AI3, 9) +  IF(AH3&gt;0,AH3, 101) + 0.75*IF(AJ3&gt;0,AJ3, 101)), 99)</f>
        <v>22.75</v>
      </c>
      <c r="AB3" s="14">
        <v>1</v>
      </c>
      <c r="AC3" s="14">
        <v>4</v>
      </c>
      <c r="AD3" s="14">
        <v>2</v>
      </c>
      <c r="AE3" s="14">
        <v>1</v>
      </c>
      <c r="AF3" s="14">
        <v>1</v>
      </c>
      <c r="AG3" s="14">
        <v>1</v>
      </c>
      <c r="AH3" s="14">
        <v>1</v>
      </c>
      <c r="AI3" s="14">
        <v>1</v>
      </c>
      <c r="AJ3" s="14">
        <v>1</v>
      </c>
      <c r="AK3" s="2" t="str">
        <f>IFERROR(INDEX(measureables!$A:$J,MATCH($A3,measureables!$A:$A,FALSE),7), "")</f>
        <v>6'8</v>
      </c>
      <c r="AL3" s="2">
        <f>IFERROR(INDEX(measureables!$A:$J,MATCH($A3,measureables!$A:$A,FALSE),9), "")</f>
        <v>220</v>
      </c>
      <c r="AM3" s="2">
        <f>IFERROR(INDEX(measureables!$A:$J,MATCH($A3,measureables!$A:$A,FALSE),10), "")</f>
        <v>0</v>
      </c>
      <c r="AN3" s="2">
        <f>IFERROR(INDEX(measureables!$A:$J,MATCH($A3,measureables!$A:$A,FALSE),8), "")</f>
        <v>0</v>
      </c>
      <c r="AO3" t="str">
        <f t="shared" ref="AO3:AO41" si="0">IF(R3="", "", AO2
&amp; IF(S3=S2, "", IF(S3=1, "
&lt;!-- rankings --&gt;
  ", "
  &lt;/ol&gt;
  "
)
&amp;
"&lt;h2&gt; Tier "
&amp; S3
&amp; " (~"
&amp; IF(MOD(Q3, 5)=0, Q3, FLOOR(Q3, 5) &amp; "+")
&amp; " FV)&lt;/h2&gt;
  &lt;ol start='"
&amp; R3
&amp; " '&gt;
  "
)
&amp;
"  &lt;li&gt;&lt;b&gt;&lt;a 
    target='_blank' href='"
&amp; X3
&amp; "'&gt;"
&amp; A3
&amp; "&lt;/a&gt;&lt;/b&gt;
    - &lt;i&gt;
    &lt;a target='_blank' href='"
&amp; W3
&amp; "'&gt;"
&amp; B3
&amp; " &lt;/a&gt;&lt;/b&gt;
    - 
    &lt;a target='_blank'href='"
&amp; V3
&amp; "'&gt;"
&amp; C3
&amp; "&lt;/a&gt;&lt;/b&gt; &lt;/i&gt;&lt;/li&gt;
  &lt;ul style='list-style-type:none'&gt;"
&amp; IF(D3 &lt;&gt; "", "
    &lt;li&gt;Grade: " &amp; D3 &amp; " &lt;/li&gt;", "")
&amp; IF(E3 &lt;&gt; "", "
    &lt;li&gt;Age: " &amp; ROUND(E3,1) &amp; " &lt;/li&gt;", "")
&amp; IF(F3 &lt;&gt; "", "
    &lt;li&gt;Height: " &amp; F3 &amp; " in &lt;/li&gt;", "")
&amp; IF(G3 &lt;&gt; "", "
    &lt;li&gt;Weight: " &amp; G3 &amp; " lbs &lt;/li&gt;", "")
&amp; IF(H3 &lt;&gt; "", "
    &lt;li&gt;Wingspan: " &amp; H3 &amp; " in &lt;/li&gt;", "")
&amp; IF(I3 &lt;&gt; "", "
    &lt;li&gt;Reach: " &amp; I3 &amp; " in &lt;/li&gt;", "")
&amp; IF(J3 &lt;&gt; "", "
    &lt;li&gt;Ape: " &amp; J3 &amp; " &lt;/li&gt;", "")
&amp; IF(L3 &lt;&gt; "", "
    &lt;li&gt;++: " &amp; L3 &amp; " &lt;/li&gt;", "")
&amp; IF(M3 &lt;&gt; "", "
    &lt;li&gt;+: " &amp; M3 &amp; " &lt;/li&gt;", "")
&amp; IF(N3 &lt;&gt; "", "
    &lt;li&gt;-: " &amp; N3 &amp; " &lt;/li&gt;", "")
&amp; IF(O3 &lt;&gt; "", "
    &lt;li&gt;--: " &amp; O3 &amp; " &lt;/li&gt;", "")
&amp; IF(P3 &lt;&gt; "", "
    &lt;li&gt;Additional Notes: " &amp; P3 &amp; " &lt;/li&gt;", "")
&amp; "
  &lt;/ul&gt;
  &lt;br&gt;"
&amp; IF(S4="", "
  &lt;/ol&gt;
&lt;!-- # end of rankings --&gt;
", "")
)</f>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v>
      </c>
    </row>
    <row r="4" spans="1:41" ht="22" customHeight="1" x14ac:dyDescent="0.2">
      <c r="A4" t="s">
        <v>214</v>
      </c>
      <c r="B4" s="16" t="s">
        <v>324</v>
      </c>
      <c r="C4" s="3" t="s">
        <v>251</v>
      </c>
      <c r="D4" s="3" t="s">
        <v>19</v>
      </c>
      <c r="E4" s="10">
        <f>YEARFRAC(Y4, $E$2, 1)</f>
        <v>20.006127770534551</v>
      </c>
      <c r="F4" s="8">
        <f>IFERROR(LEFT(AK4,FIND("'",AK4)-1)*12+SUBSTITUTE(MID(AK4,FIND("'",AK4)+1,LEN(AK4)),"''",""), "")</f>
        <v>84</v>
      </c>
      <c r="G4" s="8">
        <f>AL4</f>
        <v>215</v>
      </c>
      <c r="H4" s="8" t="str">
        <f>IFERROR(LEFT(AM4,FIND("'",AM4)-1)*12+SUBSTITUTE(MID(AM4,FIND("'",AM4)+1,LEN(AM4)),"''",""), "")</f>
        <v/>
      </c>
      <c r="I4" s="8" t="str">
        <f>IFERROR(LEFT(AN4,FIND("'",AN4)-1)*12+SUBSTITUTE(MID(AN4,FIND("'",AN4)+1,LEN(AN4)),"''",""), "")</f>
        <v/>
      </c>
      <c r="J4" s="8" t="str">
        <f>IFERROR(IF(AND(H4-F4&gt;= 0, H4 &gt; 0), "+", ""),"") &amp; IFERROR(IF(AND(H4-F4&gt;= -5, H4 &gt; 0), H4-F4, ""),"")</f>
        <v/>
      </c>
      <c r="K4" s="10" t="str">
        <f>IF(F4&gt;0, IFERROR((H4-60)/(F4-60),""), "")</f>
        <v/>
      </c>
      <c r="L4" s="3" t="s">
        <v>316</v>
      </c>
      <c r="M4" s="3" t="s">
        <v>317</v>
      </c>
      <c r="N4" s="3" t="s">
        <v>318</v>
      </c>
      <c r="O4" s="3" t="s">
        <v>319</v>
      </c>
      <c r="P4" s="3" t="s">
        <v>326</v>
      </c>
      <c r="Q4" s="7">
        <v>60</v>
      </c>
      <c r="R4" s="3">
        <v>2</v>
      </c>
      <c r="S4" s="8">
        <f>IF(Q4=Q3,S3, MAX(S$2:S3)+1)</f>
        <v>1</v>
      </c>
      <c r="T4" s="8">
        <f>IFERROR(INDEX(actual!A:A,MATCH(A4,actual!B:B,FALSE)), "")</f>
        <v>3</v>
      </c>
      <c r="U4" s="8" t="str">
        <f>IFERROR(INDEX(actual!C:C,MATCH(A4,actual!B:B,FALSE)), "")</f>
        <v>CLE</v>
      </c>
      <c r="V4" s="4" t="str">
        <f>HYPERLINK(IF(D4="", "https://www.basketball-reference.com/international", "https://www.sports-reference.com/cbb") &amp; "/players/" &amp; LOWER(SUBSTITUTE(A4, " ", "-") &amp; "-1.html"))</f>
        <v>https://www.sports-reference.com/cbb/players/evan-mobley-1.html</v>
      </c>
      <c r="W4" s="4" t="str">
        <f>HYPERLINK("https://www.nbadraft.net/players/" &amp; LOWER(SUBSTITUTE(A4, " ", "-") &amp; ""))</f>
        <v>https://www.nbadraft.net/players/evan-mobley</v>
      </c>
      <c r="X4" s="18" t="str">
        <f>HYPERLINK("https://www.nba.com/draft/2021/prospects/" &amp; LOWER(SUBSTITUTE(A4, " ", "-") &amp; ""))</f>
        <v>https://www.nba.com/draft/2021/prospects/evan-mobley</v>
      </c>
      <c r="Y4" s="11">
        <v>37060</v>
      </c>
      <c r="Z4" s="14">
        <f>RANK(AA4,AA:AA,1)</f>
        <v>2</v>
      </c>
      <c r="AA4" s="13">
        <f>IFERROR( (3*IF(AB4&gt;0,AB4, 76) + 2*IF(AC4&gt;0,AC4, 18) + 2*IF(AD4&gt;0,AD4, 5) + 2*IF(AE4&gt;0,AE4, 70) + 2*IF(AF4&gt;0,AF4, 7)  + IF(AG4&gt;0,AG4, 51) + IF(AI4&gt;0,AI4, 9) +  IF(AH4&gt;0,AH4, 101) + 0.75*IF(AJ4&gt;0,AJ4, 101)), 99)</f>
        <v>25.25</v>
      </c>
      <c r="AB4" s="14">
        <v>2</v>
      </c>
      <c r="AC4" s="14">
        <v>1</v>
      </c>
      <c r="AD4" s="14">
        <v>1</v>
      </c>
      <c r="AE4" s="14">
        <v>2</v>
      </c>
      <c r="AF4" s="14">
        <v>1</v>
      </c>
      <c r="AG4" s="14">
        <v>2</v>
      </c>
      <c r="AH4" s="14">
        <v>3</v>
      </c>
      <c r="AI4" s="14">
        <v>2</v>
      </c>
      <c r="AJ4" s="14">
        <v>3</v>
      </c>
      <c r="AK4" s="2" t="str">
        <f>IFERROR(INDEX(measureables!$A:$J,MATCH($A4,measureables!$A:$A,FALSE),7), "")</f>
        <v>7'0</v>
      </c>
      <c r="AL4" s="2">
        <f>IFERROR(INDEX(measureables!$A:$J,MATCH($A4,measureables!$A:$A,FALSE),9), "")</f>
        <v>215</v>
      </c>
      <c r="AM4" s="2">
        <f>IFERROR(INDEX(measureables!$A:$J,MATCH($A4,measureables!$A:$A,FALSE),10), "")</f>
        <v>0</v>
      </c>
      <c r="AN4" s="2">
        <f>IFERROR(INDEX(measureables!$A:$J,MATCH($A4,measureables!$A:$A,FALSE),8), "")</f>
        <v>0</v>
      </c>
      <c r="AO4"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v>
      </c>
    </row>
    <row r="5" spans="1:41" ht="22" customHeight="1" x14ac:dyDescent="0.2">
      <c r="A5" t="s">
        <v>210</v>
      </c>
      <c r="B5" s="16" t="s">
        <v>16</v>
      </c>
      <c r="C5" s="3" t="s">
        <v>253</v>
      </c>
      <c r="E5" s="10">
        <f>YEARFRAC(Y5, $E$2, 1)</f>
        <v>19.359342915811087</v>
      </c>
      <c r="F5" s="8">
        <f>IFERROR(LEFT(AK5,FIND("'",AK5)-1)*12+SUBSTITUTE(MID(AK5,FIND("'",AK5)+1,LEN(AK5)),"''",""), "")</f>
        <v>78</v>
      </c>
      <c r="G5" s="8">
        <f>AL5</f>
        <v>178</v>
      </c>
      <c r="H5" s="8" t="str">
        <f>IFERROR(LEFT(AM5,FIND("'",AM5)-1)*12+SUBSTITUTE(MID(AM5,FIND("'",AM5)+1,LEN(AM5)),"''",""), "")</f>
        <v/>
      </c>
      <c r="I5" s="8" t="str">
        <f>IFERROR(LEFT(AN5,FIND("'",AN5)-1)*12+SUBSTITUTE(MID(AN5,FIND("'",AN5)+1,LEN(AN5)),"''",""), "")</f>
        <v/>
      </c>
      <c r="J5" s="8" t="str">
        <f>IFERROR(IF(AND(H5-F5&gt;= 0, H5 &gt; 0), "+", ""),"") &amp; IFERROR(IF(AND(H5-F5&gt;= -5, H5 &gt; 0), H5-F5, ""),"")</f>
        <v/>
      </c>
      <c r="K5" s="10" t="str">
        <f>IF(F5&gt;0, IFERROR((H5-60)/(F5-60),""), "")</f>
        <v/>
      </c>
      <c r="L5" s="3" t="s">
        <v>331</v>
      </c>
      <c r="M5" s="3" t="s">
        <v>332</v>
      </c>
      <c r="N5" s="3" t="s">
        <v>333</v>
      </c>
      <c r="P5" s="3" t="s">
        <v>351</v>
      </c>
      <c r="Q5" s="7">
        <v>57</v>
      </c>
      <c r="R5" s="3">
        <f>ROW()-2</f>
        <v>3</v>
      </c>
      <c r="S5" s="8">
        <f>IF(Q5=Q4,S4, MAX(S$2:S4)+1)</f>
        <v>2</v>
      </c>
      <c r="T5" s="8">
        <f>IFERROR(INDEX(actual!A:A,MATCH(A5,actual!B:B,FALSE)), "")</f>
        <v>2</v>
      </c>
      <c r="U5" s="8" t="str">
        <f>IFERROR(INDEX(actual!C:C,MATCH(A5,actual!B:B,FALSE)), "")</f>
        <v>HOU</v>
      </c>
      <c r="V5" s="17" t="s">
        <v>340</v>
      </c>
      <c r="W5" s="4" t="str">
        <f>HYPERLINK("https://www.nbadraft.net/players/" &amp; LOWER(SUBSTITUTE(A5, " ", "-") &amp; ""))</f>
        <v>https://www.nbadraft.net/players/jalen-green</v>
      </c>
      <c r="X5" s="18" t="str">
        <f>HYPERLINK("https://www.nba.com/draft/2021/prospects/" &amp; LOWER(SUBSTITUTE(A5, " ", "-") &amp; ""))</f>
        <v>https://www.nba.com/draft/2021/prospects/jalen-green</v>
      </c>
      <c r="Y5" s="11">
        <v>37296</v>
      </c>
      <c r="Z5" s="14">
        <f>RANK(AA5,AA:AA,1)</f>
        <v>5</v>
      </c>
      <c r="AA5" s="13">
        <f>IFERROR( (3*IF(AB5&gt;0,AB5, 76) + 2*IF(AC5&gt;0,AC5, 18) + 2*IF(AD5&gt;0,AD5, 5) + 2*IF(AE5&gt;0,AE5, 70) + 2*IF(AF5&gt;0,AF5, 7)  + IF(AG5&gt;0,AG5, 51) + IF(AI5&gt;0,AI5, 9) +  IF(AH5&gt;0,AH5, 101) + 0.75*IF(AJ5&gt;0,AJ5, 101)), 99)</f>
        <v>59.5</v>
      </c>
      <c r="AB5" s="14">
        <v>5</v>
      </c>
      <c r="AC5" s="14">
        <v>8</v>
      </c>
      <c r="AD5" s="14">
        <v>3</v>
      </c>
      <c r="AE5" s="14">
        <v>4</v>
      </c>
      <c r="AF5" s="14">
        <v>2</v>
      </c>
      <c r="AG5" s="14">
        <v>3</v>
      </c>
      <c r="AH5" s="14">
        <v>4</v>
      </c>
      <c r="AI5" s="14">
        <v>2</v>
      </c>
      <c r="AJ5" s="14">
        <v>2</v>
      </c>
      <c r="AK5" s="2" t="str">
        <f>IFERROR(INDEX(measureables!$A:$J,MATCH($A5,measureables!$A:$A,FALSE),7), "")</f>
        <v>6'6</v>
      </c>
      <c r="AL5" s="2">
        <f>IFERROR(INDEX(measureables!$A:$J,MATCH($A5,measureables!$A:$A,FALSE),9), "")</f>
        <v>178</v>
      </c>
      <c r="AM5" s="2">
        <f>IFERROR(INDEX(measureables!$A:$J,MATCH($A5,measureables!$A:$A,FALSE),10), "")</f>
        <v>0</v>
      </c>
      <c r="AN5" s="2">
        <f>IFERROR(INDEX(measureables!$A:$J,MATCH($A5,measureables!$A:$A,FALSE),8), "")</f>
        <v>0</v>
      </c>
      <c r="AO5"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v>
      </c>
    </row>
    <row r="6" spans="1:41" ht="22" customHeight="1" x14ac:dyDescent="0.2">
      <c r="A6" t="s">
        <v>224</v>
      </c>
      <c r="B6" s="16" t="s">
        <v>325</v>
      </c>
      <c r="C6" s="3" t="s">
        <v>255</v>
      </c>
      <c r="D6" s="3" t="s">
        <v>256</v>
      </c>
      <c r="E6" s="10">
        <f>YEARFRAC(Y6, $E$2, 1)</f>
        <v>19.814471968709256</v>
      </c>
      <c r="F6" s="8">
        <f>IFERROR(LEFT(AK6,FIND("'",AK6)-1)*12+SUBSTITUTE(MID(AK6,FIND("'",AK6)+1,LEN(AK6)),"''",""), "")</f>
        <v>81</v>
      </c>
      <c r="G6" s="8">
        <f>AL6</f>
        <v>220</v>
      </c>
      <c r="H6" s="8" t="str">
        <f>IFERROR(LEFT(AM6,FIND("'",AM6)-1)*12+SUBSTITUTE(MID(AM6,FIND("'",AM6)+1,LEN(AM6)),"''",""), "")</f>
        <v/>
      </c>
      <c r="I6" s="8" t="str">
        <f>IFERROR(LEFT(AN6,FIND("'",AN6)-1)*12+SUBSTITUTE(MID(AN6,FIND("'",AN6)+1,LEN(AN6)),"''",""), "")</f>
        <v/>
      </c>
      <c r="J6" s="8" t="str">
        <f>IFERROR(IF(AND(H6-F6&gt;= 0, H6 &gt; 0), "+", ""),"") &amp; IFERROR(IF(AND(H6-F6&gt;= -5, H6 &gt; 0), H6-F6, ""),"")</f>
        <v/>
      </c>
      <c r="K6" s="10" t="str">
        <f>IF(F6&gt;0, IFERROR((H6-60)/(F6-60),""), "")</f>
        <v/>
      </c>
      <c r="L6" s="3" t="s">
        <v>334</v>
      </c>
      <c r="M6" s="3" t="s">
        <v>335</v>
      </c>
      <c r="N6" s="3" t="s">
        <v>336</v>
      </c>
      <c r="P6" s="3" t="s">
        <v>350</v>
      </c>
      <c r="Q6" s="7">
        <v>57</v>
      </c>
      <c r="R6" s="3">
        <f>ROW()-2</f>
        <v>4</v>
      </c>
      <c r="S6" s="8">
        <f>IF(Q6=Q5,S5, MAX(S$2:S5)+1)</f>
        <v>2</v>
      </c>
      <c r="T6" s="8">
        <f>IFERROR(INDEX(actual!A:A,MATCH(A6,actual!B:B,FALSE)), "")</f>
        <v>8</v>
      </c>
      <c r="U6" s="8" t="str">
        <f>IFERROR(INDEX(actual!C:C,MATCH(A6,actual!B:B,FALSE)), "")</f>
        <v>ORL</v>
      </c>
      <c r="V6" s="4" t="str">
        <f>HYPERLINK(IF(D6="", "https://www.basketball-reference.com/international", "https://www.sports-reference.com/cbb") &amp; "/players/" &amp; LOWER(SUBSTITUTE(A6, " ", "-") &amp; "-1.html"))</f>
        <v>https://www.sports-reference.com/cbb/players/franz-wagner-1.html</v>
      </c>
      <c r="W6" s="4" t="str">
        <f>HYPERLINK("https://www.nbadraft.net/players/" &amp; LOWER(SUBSTITUTE(A6, " ", "-") &amp; ""))</f>
        <v>https://www.nbadraft.net/players/franz-wagner</v>
      </c>
      <c r="X6" s="18" t="str">
        <f>HYPERLINK("https://www.nba.com/draft/2021/prospects/" &amp; LOWER(SUBSTITUTE(A6, " ", "-") &amp; ""))</f>
        <v>https://www.nba.com/draft/2021/prospects/franz-wagner</v>
      </c>
      <c r="Y6" s="11">
        <v>37130</v>
      </c>
      <c r="Z6" s="14">
        <f>RANK(AA6,AA:AA,1)</f>
        <v>7</v>
      </c>
      <c r="AA6" s="13">
        <f>IFERROR( (3*IF(AB6&gt;0,AB6, 76) + 2*IF(AC6&gt;0,AC6, 18) + 2*IF(AD6&gt;0,AD6, 5) + 2*IF(AE6&gt;0,AE6, 70) + 2*IF(AF6&gt;0,AF6, 7)  + IF(AG6&gt;0,AG6, 51) + IF(AI6&gt;0,AI6, 9) +  IF(AH6&gt;0,AH6, 101) + 0.75*IF(AJ6&gt;0,AJ6, 101)), 99)</f>
        <v>93.5</v>
      </c>
      <c r="AB6" s="14">
        <v>7</v>
      </c>
      <c r="AC6" s="14">
        <v>5</v>
      </c>
      <c r="AD6" s="14">
        <v>3</v>
      </c>
      <c r="AE6" s="14">
        <v>6</v>
      </c>
      <c r="AF6" s="14">
        <v>3</v>
      </c>
      <c r="AG6" s="14">
        <v>13</v>
      </c>
      <c r="AH6" s="14">
        <v>14</v>
      </c>
      <c r="AI6" s="14">
        <v>4</v>
      </c>
      <c r="AJ6" s="14">
        <v>10</v>
      </c>
      <c r="AK6" s="2" t="str">
        <f>IFERROR(INDEX(measureables!$A:$J,MATCH($A6,measureables!$A:$A,FALSE),7), "")</f>
        <v>6'9</v>
      </c>
      <c r="AL6" s="2">
        <f>IFERROR(INDEX(measureables!$A:$J,MATCH($A6,measureables!$A:$A,FALSE),9), "")</f>
        <v>220</v>
      </c>
      <c r="AM6" s="2">
        <f>IFERROR(INDEX(measureables!$A:$J,MATCH($A6,measureables!$A:$A,FALSE),10), "")</f>
        <v>0</v>
      </c>
      <c r="AN6" s="2">
        <f>IFERROR(INDEX(measureables!$A:$J,MATCH($A6,measureables!$A:$A,FALSE),8), "")</f>
        <v>0</v>
      </c>
      <c r="AO6"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v>
      </c>
    </row>
    <row r="7" spans="1:41" ht="22" customHeight="1" x14ac:dyDescent="0.2">
      <c r="A7" t="s">
        <v>179</v>
      </c>
      <c r="B7" s="16" t="s">
        <v>325</v>
      </c>
      <c r="C7" s="3" t="s">
        <v>21</v>
      </c>
      <c r="D7" s="3" t="s">
        <v>19</v>
      </c>
      <c r="E7" s="10">
        <f>YEARFRAC(Y7, $E$2, 1)</f>
        <v>19.885658409387222</v>
      </c>
      <c r="F7" s="8">
        <f>IFERROR(LEFT(AK7,FIND("'",AK7)-1)*12+SUBSTITUTE(MID(AK7,FIND("'",AK7)+1,LEN(AK7)),"''",""), "")</f>
        <v>80</v>
      </c>
      <c r="G7" s="8">
        <f>AL7</f>
        <v>225.4</v>
      </c>
      <c r="H7" s="8">
        <f>IFERROR(LEFT(AM7,FIND("'",AM7)-1)*12+SUBSTITUTE(MID(AM7,FIND("'",AM7)+1,LEN(AM7)),"''",""), "")</f>
        <v>86.75</v>
      </c>
      <c r="I7" s="8">
        <f>IFERROR(LEFT(AN7,FIND("'",AN7)-1)*12+SUBSTITUTE(MID(AN7,FIND("'",AN7)+1,LEN(AN7)),"''",""), "")</f>
        <v>108</v>
      </c>
      <c r="J7" s="8" t="str">
        <f>IFERROR(IF(AND(H7-F7&gt;= 0, H7 &gt; 0), "+", ""),"") &amp; IFERROR(IF(AND(H7-F7&gt;= -5, H7 &gt; 0), H7-F7, ""),"")</f>
        <v>+6.75</v>
      </c>
      <c r="K7" s="10">
        <f>IF(F7&gt;0, IFERROR((H7-60)/(F7-60),""), "")</f>
        <v>1.3374999999999999</v>
      </c>
      <c r="L7" s="3" t="s">
        <v>321</v>
      </c>
      <c r="M7" s="3" t="s">
        <v>314</v>
      </c>
      <c r="N7" s="3" t="s">
        <v>323</v>
      </c>
      <c r="O7" s="3" t="s">
        <v>322</v>
      </c>
      <c r="P7" s="3" t="s">
        <v>348</v>
      </c>
      <c r="Q7" s="7">
        <v>57</v>
      </c>
      <c r="R7" s="3">
        <f>ROW()-2</f>
        <v>5</v>
      </c>
      <c r="S7" s="8">
        <f>IF(Q7=Q6,S6, MAX(S$2:S6)+1)</f>
        <v>2</v>
      </c>
      <c r="T7" s="8">
        <f>IFERROR(INDEX(actual!A:A,MATCH(A7,actual!B:B,FALSE)), "")</f>
        <v>4</v>
      </c>
      <c r="U7" s="8" t="str">
        <f>IFERROR(INDEX(actual!C:C,MATCH(A7,actual!B:B,FALSE)), "")</f>
        <v>TOR</v>
      </c>
      <c r="V7" s="4" t="str">
        <f>HYPERLINK(IF(D7="", "https://www.basketball-reference.com/international", "https://www.sports-reference.com/cbb") &amp; "/players/" &amp; LOWER(SUBSTITUTE(A7, " ", "-") &amp; "-1.html"))</f>
        <v>https://www.sports-reference.com/cbb/players/scottie-barnes-1.html</v>
      </c>
      <c r="W7" s="4" t="str">
        <f>HYPERLINK("https://www.nbadraft.net/players/" &amp; LOWER(SUBSTITUTE(A7, " ", "-") &amp; ""))</f>
        <v>https://www.nbadraft.net/players/scottie-barnes</v>
      </c>
      <c r="X7" s="18" t="str">
        <f>HYPERLINK("https://www.nba.com/draft/2021/prospects/" &amp; LOWER(SUBSTITUTE(A7, " ", "-") &amp; ""))</f>
        <v>https://www.nba.com/draft/2021/prospects/scottie-barnes</v>
      </c>
      <c r="Y7" s="11">
        <v>37104</v>
      </c>
      <c r="Z7" s="14">
        <f>RANK(AA7,AA:AA,1)</f>
        <v>4</v>
      </c>
      <c r="AA7" s="13">
        <f>IFERROR( (3*IF(AB7&gt;0,AB7, 76) + 2*IF(AC7&gt;0,AC7, 18) + 2*IF(AD7&gt;0,AD7, 5) + 2*IF(AE7&gt;0,AE7, 70) + 2*IF(AF7&gt;0,AF7, 7)  + IF(AG7&gt;0,AG7, 51) + IF(AI7&gt;0,AI7, 9) +  IF(AH7&gt;0,AH7, 101) + 0.75*IF(AJ7&gt;0,AJ7, 101)), 99)</f>
        <v>55.5</v>
      </c>
      <c r="AB7" s="14">
        <v>3</v>
      </c>
      <c r="AC7" s="15">
        <v>2</v>
      </c>
      <c r="AD7" s="14">
        <v>2</v>
      </c>
      <c r="AE7" s="14">
        <v>7</v>
      </c>
      <c r="AF7" s="14">
        <v>3</v>
      </c>
      <c r="AG7" s="14">
        <v>5</v>
      </c>
      <c r="AH7" s="14">
        <v>6</v>
      </c>
      <c r="AI7" s="14">
        <v>3</v>
      </c>
      <c r="AJ7" s="14">
        <v>6</v>
      </c>
      <c r="AK7" s="2" t="str">
        <f>IFERROR(INDEX(measureables!$A:$J,MATCH($A7,measureables!$A:$A,FALSE),7), "")</f>
        <v>6'8.0''</v>
      </c>
      <c r="AL7" s="2">
        <f>IFERROR(INDEX(measureables!$A:$J,MATCH($A7,measureables!$A:$A,FALSE),9), "")</f>
        <v>225.4</v>
      </c>
      <c r="AM7" s="2" t="str">
        <f>IFERROR(INDEX(measureables!$A:$J,MATCH($A7,measureables!$A:$A,FALSE),10), "")</f>
        <v>7'2.75''</v>
      </c>
      <c r="AN7" s="2" t="str">
        <f>IFERROR(INDEX(measureables!$A:$J,MATCH($A7,measureables!$A:$A,FALSE),8), "")</f>
        <v>9'0.0''</v>
      </c>
      <c r="AO7"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v>
      </c>
    </row>
    <row r="8" spans="1:41" ht="22" customHeight="1" x14ac:dyDescent="0.2">
      <c r="A8" t="s">
        <v>223</v>
      </c>
      <c r="B8" s="16" t="s">
        <v>15</v>
      </c>
      <c r="C8" s="3" t="s">
        <v>252</v>
      </c>
      <c r="D8" s="3" t="s">
        <v>19</v>
      </c>
      <c r="E8" s="10">
        <f>YEARFRAC(Y8, $E$2, 1)</f>
        <v>20.047196870925685</v>
      </c>
      <c r="F8" s="8">
        <f>IFERROR(LEFT(AK8,FIND("'",AK8)-1)*12+SUBSTITUTE(MID(AK8,FIND("'",AK8)+1,LEN(AK8)),"''",""), "")</f>
        <v>76</v>
      </c>
      <c r="G8" s="8">
        <f>AL8</f>
        <v>205</v>
      </c>
      <c r="H8" s="8" t="str">
        <f>IFERROR(LEFT(AM8,FIND("'",AM8)-1)*12+SUBSTITUTE(MID(AM8,FIND("'",AM8)+1,LEN(AM8)),"''",""), "")</f>
        <v/>
      </c>
      <c r="I8" s="8" t="str">
        <f>IFERROR(LEFT(AN8,FIND("'",AN8)-1)*12+SUBSTITUTE(MID(AN8,FIND("'",AN8)+1,LEN(AN8)),"''",""), "")</f>
        <v/>
      </c>
      <c r="J8" s="8" t="str">
        <f>IFERROR(IF(AND(H8-F8&gt;= 0, H8 &gt; 0), "+", ""),"") &amp; IFERROR(IF(AND(H8-F8&gt;= -5, H8 &gt; 0), H8-F8, ""),"")</f>
        <v/>
      </c>
      <c r="K8" s="10" t="str">
        <f>IF(F8&gt;0, IFERROR((H8-60)/(F8-60),""), "")</f>
        <v/>
      </c>
      <c r="L8" s="3" t="s">
        <v>328</v>
      </c>
      <c r="M8" s="3" t="s">
        <v>330</v>
      </c>
      <c r="N8" s="3" t="s">
        <v>329</v>
      </c>
      <c r="O8" s="3" t="s">
        <v>319</v>
      </c>
      <c r="P8" s="3" t="s">
        <v>349</v>
      </c>
      <c r="Q8" s="7">
        <v>57</v>
      </c>
      <c r="R8" s="3">
        <f>ROW()-2</f>
        <v>6</v>
      </c>
      <c r="S8" s="8">
        <f>IF(Q8=Q7,S7, MAX(S$2:S7)+1)</f>
        <v>2</v>
      </c>
      <c r="T8" s="8">
        <f>IFERROR(INDEX(actual!A:A,MATCH(A8,actual!B:B,FALSE)), "")</f>
        <v>5</v>
      </c>
      <c r="U8" s="8" t="str">
        <f>IFERROR(INDEX(actual!C:C,MATCH(A8,actual!B:B,FALSE)), "")</f>
        <v>ORL</v>
      </c>
      <c r="V8" s="4" t="str">
        <f>HYPERLINK(IF(D8="", "https://www.basketball-reference.com/international", "https://www.sports-reference.com/cbb") &amp; "/players/" &amp; LOWER(SUBSTITUTE(A8, " ", "-") &amp; "-1.html"))</f>
        <v>https://www.sports-reference.com/cbb/players/jalen-suggs-1.html</v>
      </c>
      <c r="W8" s="4" t="str">
        <f>HYPERLINK("https://www.nbadraft.net/players/" &amp; LOWER(SUBSTITUTE(A8, " ", "-") &amp; ""))</f>
        <v>https://www.nbadraft.net/players/jalen-suggs</v>
      </c>
      <c r="X8" s="18" t="str">
        <f>HYPERLINK("https://www.nba.com/draft/2021/prospects/" &amp; LOWER(SUBSTITUTE(A8, " ", "-") &amp; ""))</f>
        <v>https://www.nba.com/draft/2021/prospects/jalen-suggs</v>
      </c>
      <c r="Y8" s="11">
        <v>37045</v>
      </c>
      <c r="Z8" s="14">
        <f>RANK(AA8,AA:AA,1)</f>
        <v>3</v>
      </c>
      <c r="AA8" s="13">
        <f>IFERROR( (3*IF(AB8&gt;0,AB8, 76) + 2*IF(AC8&gt;0,AC8, 18) + 2*IF(AD8&gt;0,AD8, 5) + 2*IF(AE8&gt;0,AE8, 70) + 2*IF(AF8&gt;0,AF8, 7)  + IF(AG8&gt;0,AG8, 51) + IF(AI8&gt;0,AI8, 9) +  IF(AH8&gt;0,AH8, 101) + 0.75*IF(AJ8&gt;0,AJ8, 101)), 99)</f>
        <v>49</v>
      </c>
      <c r="AB8" s="14">
        <v>6</v>
      </c>
      <c r="AC8" s="14">
        <v>3</v>
      </c>
      <c r="AD8" s="14">
        <v>2</v>
      </c>
      <c r="AE8" s="14">
        <v>3</v>
      </c>
      <c r="AF8" s="14">
        <v>2</v>
      </c>
      <c r="AG8" s="14">
        <v>4</v>
      </c>
      <c r="AH8" s="14">
        <v>2</v>
      </c>
      <c r="AI8" s="14">
        <v>2</v>
      </c>
      <c r="AJ8" s="14">
        <v>4</v>
      </c>
      <c r="AK8" s="2" t="str">
        <f>IFERROR(INDEX(measureables!$A:$J,MATCH($A8,measureables!$A:$A,FALSE),7), "")</f>
        <v>6'4</v>
      </c>
      <c r="AL8" s="2">
        <f>IFERROR(INDEX(measureables!$A:$J,MATCH($A8,measureables!$A:$A,FALSE),9), "")</f>
        <v>205</v>
      </c>
      <c r="AM8" s="2">
        <f>IFERROR(INDEX(measureables!$A:$J,MATCH($A8,measureables!$A:$A,FALSE),10), "")</f>
        <v>0</v>
      </c>
      <c r="AN8" s="2">
        <f>IFERROR(INDEX(measureables!$A:$J,MATCH($A8,measureables!$A:$A,FALSE),8), "")</f>
        <v>0</v>
      </c>
      <c r="AO8"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v>
      </c>
    </row>
    <row r="9" spans="1:41" ht="22" customHeight="1" x14ac:dyDescent="0.2">
      <c r="A9" t="s">
        <v>225</v>
      </c>
      <c r="B9" s="16" t="s">
        <v>355</v>
      </c>
      <c r="C9" s="3" t="s">
        <v>264</v>
      </c>
      <c r="E9" s="10">
        <f>YEARFRAC(Y9, $E$2, 1)</f>
        <v>18.694045174537987</v>
      </c>
      <c r="F9" s="8">
        <f>IFERROR(LEFT(AK9,FIND("'",AK9)-1)*12+SUBSTITUTE(MID(AK9,FIND("'",AK9)+1,LEN(AK9)),"''",""), "")</f>
        <v>80</v>
      </c>
      <c r="G9" s="8">
        <f>AL9</f>
        <v>200</v>
      </c>
      <c r="H9" s="8" t="str">
        <f>IFERROR(LEFT(AM9,FIND("'",AM9)-1)*12+SUBSTITUTE(MID(AM9,FIND("'",AM9)+1,LEN(AM9)),"''",""), "")</f>
        <v/>
      </c>
      <c r="I9" s="8" t="str">
        <f>IFERROR(LEFT(AN9,FIND("'",AN9)-1)*12+SUBSTITUTE(MID(AN9,FIND("'",AN9)+1,LEN(AN9)),"''",""), "")</f>
        <v/>
      </c>
      <c r="J9" s="8" t="str">
        <f>IFERROR(IF(AND(H9-F9&gt;= 0, H9 &gt; 0), "+", ""),"") &amp; IFERROR(IF(AND(H9-F9&gt;= -5, H9 &gt; 0), H9-F9, ""),"")</f>
        <v/>
      </c>
      <c r="K9" s="10" t="str">
        <f>IF(F9&gt;0, IFERROR((H9-60)/(F9-60),""), "")</f>
        <v/>
      </c>
      <c r="L9" s="3" t="s">
        <v>347</v>
      </c>
      <c r="M9" s="3" t="s">
        <v>345</v>
      </c>
      <c r="N9" s="3" t="s">
        <v>346</v>
      </c>
      <c r="O9" s="3" t="s">
        <v>322</v>
      </c>
      <c r="P9" s="3" t="s">
        <v>354</v>
      </c>
      <c r="Q9" s="7">
        <v>52</v>
      </c>
      <c r="R9" s="3">
        <f>ROW()-2</f>
        <v>7</v>
      </c>
      <c r="S9" s="8">
        <f>IF(Q9=Q8,S8, MAX(S$2:S8)+1)</f>
        <v>3</v>
      </c>
      <c r="T9" s="8">
        <f>IFERROR(INDEX(actual!A:A,MATCH(A9,actual!B:B,FALSE)), "")</f>
        <v>6</v>
      </c>
      <c r="U9" s="8" t="str">
        <f>IFERROR(INDEX(actual!C:C,MATCH(A9,actual!B:B,FALSE)), "")</f>
        <v>OKC</v>
      </c>
      <c r="V9" s="4" t="str">
        <f>HYPERLINK(IF(D9="", "https://www.basketball-reference.com/international", "https://www.sports-reference.com/cbb") &amp; "/players/" &amp; LOWER(SUBSTITUTE(A9, " ", "-") &amp; "-1.html"))</f>
        <v>https://www.basketball-reference.com/international/players/josh-giddey-1.html</v>
      </c>
      <c r="W9" s="4" t="str">
        <f>HYPERLINK("https://www.nbadraft.net/players/" &amp; LOWER(SUBSTITUTE(A9, " ", "-") &amp; ""))</f>
        <v>https://www.nbadraft.net/players/josh-giddey</v>
      </c>
      <c r="X9" s="18" t="str">
        <f>HYPERLINK("https://www.nba.com/draft/2021/prospects/" &amp; LOWER(SUBSTITUTE(A9, " ", "-") &amp; ""))</f>
        <v>https://www.nba.com/draft/2021/prospects/josh-giddey</v>
      </c>
      <c r="Y9" s="11">
        <v>37539</v>
      </c>
      <c r="Z9" s="14">
        <f>RANK(AA9,AA:AA,1)</f>
        <v>9</v>
      </c>
      <c r="AA9" s="13">
        <f>IFERROR( (3*IF(AB9&gt;0,AB9, 76) + 2*IF(AC9&gt;0,AC9, 18) + 2*IF(AD9&gt;0,AD9, 5) + 2*IF(AE9&gt;0,AE9, 70) + 2*IF(AF9&gt;0,AF9, 7)  + IF(AG9&gt;0,AG9, 51) + IF(AI9&gt;0,AI9, 9) +  IF(AH9&gt;0,AH9, 101) + 0.75*IF(AJ9&gt;0,AJ9, 101)), 99)</f>
        <v>113.25</v>
      </c>
      <c r="AB9" s="14">
        <v>10</v>
      </c>
      <c r="AC9" s="14">
        <v>6</v>
      </c>
      <c r="AD9" s="14">
        <v>3</v>
      </c>
      <c r="AE9" s="14">
        <v>11</v>
      </c>
      <c r="AF9" s="14">
        <v>4</v>
      </c>
      <c r="AG9" s="14">
        <v>11</v>
      </c>
      <c r="AH9" s="14">
        <v>12</v>
      </c>
      <c r="AI9" s="14">
        <v>4</v>
      </c>
      <c r="AJ9" s="14">
        <v>11</v>
      </c>
      <c r="AK9" s="2" t="str">
        <f>IFERROR(INDEX(measureables!$A:$J,MATCH($A9,measureables!$A:$A,FALSE),7), "")</f>
        <v>6'8</v>
      </c>
      <c r="AL9" s="2">
        <f>IFERROR(INDEX(measureables!$A:$J,MATCH($A9,measureables!$A:$A,FALSE),9), "")</f>
        <v>200</v>
      </c>
      <c r="AM9" s="2">
        <f>IFERROR(INDEX(measureables!$A:$J,MATCH($A9,measureables!$A:$A,FALSE),10), "")</f>
        <v>0</v>
      </c>
      <c r="AN9" s="2">
        <f>IFERROR(INDEX(measureables!$A:$J,MATCH($A9,measureables!$A:$A,FALSE),8), "")</f>
        <v>0</v>
      </c>
      <c r="AO9"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v>
      </c>
    </row>
    <row r="10" spans="1:41" ht="22" customHeight="1" x14ac:dyDescent="0.2">
      <c r="A10" t="s">
        <v>212</v>
      </c>
      <c r="B10" s="16" t="s">
        <v>325</v>
      </c>
      <c r="C10" s="3" t="s">
        <v>253</v>
      </c>
      <c r="E10" s="10">
        <f>YEARFRAC(Y10, $E$2, 1)</f>
        <v>18.704996577686515</v>
      </c>
      <c r="F10" s="8">
        <f>IFERROR(LEFT(AK10,FIND("'",AK10)-1)*12+SUBSTITUTE(MID(AK10,FIND("'",AK10)+1,LEN(AK10)),"''",""), "")</f>
        <v>78</v>
      </c>
      <c r="G10" s="8">
        <f>AL10</f>
        <v>210</v>
      </c>
      <c r="H10" s="8" t="str">
        <f>IFERROR(LEFT(AM10,FIND("'",AM10)-1)*12+SUBSTITUTE(MID(AM10,FIND("'",AM10)+1,LEN(AM10)),"''",""), "")</f>
        <v/>
      </c>
      <c r="I10" s="8" t="str">
        <f>IFERROR(LEFT(AN10,FIND("'",AN10)-1)*12+SUBSTITUTE(MID(AN10,FIND("'",AN10)+1,LEN(AN10)),"''",""), "")</f>
        <v/>
      </c>
      <c r="J10" s="8" t="str">
        <f>IFERROR(IF(AND(H10-F10&gt;= 0, H10 &gt; 0), "+", ""),"") &amp; IFERROR(IF(AND(H10-F10&gt;= -5, H10 &gt; 0), H10-F10, ""),"")</f>
        <v/>
      </c>
      <c r="K10" s="10" t="str">
        <f>IF(F10&gt;0, IFERROR((H10-60)/(F10-60),""), "")</f>
        <v/>
      </c>
      <c r="L10" s="3" t="s">
        <v>342</v>
      </c>
      <c r="M10" s="3" t="s">
        <v>343</v>
      </c>
      <c r="N10" s="3" t="s">
        <v>344</v>
      </c>
      <c r="P10" s="3" t="s">
        <v>353</v>
      </c>
      <c r="Q10" s="7">
        <v>52</v>
      </c>
      <c r="R10" s="3">
        <f>ROW()-2</f>
        <v>8</v>
      </c>
      <c r="S10" s="8">
        <f>IF(Q10=Q9,S9, MAX(S$2:S9)+1)</f>
        <v>3</v>
      </c>
      <c r="T10" s="8">
        <f>IFERROR(INDEX(actual!A:A,MATCH(A10,actual!B:B,FALSE)), "")</f>
        <v>7</v>
      </c>
      <c r="U10" s="8" t="str">
        <f>IFERROR(INDEX(actual!C:C,MATCH(A10,actual!B:B,FALSE)), "")</f>
        <v>GSW</v>
      </c>
      <c r="V10" s="17" t="s">
        <v>341</v>
      </c>
      <c r="W10" s="4" t="str">
        <f>HYPERLINK("https://www.nbadraft.net/players/" &amp; LOWER(SUBSTITUTE(A10, " ", "-") &amp; ""))</f>
        <v>https://www.nbadraft.net/players/jonathan-kuminga</v>
      </c>
      <c r="X10" s="18" t="str">
        <f>HYPERLINK("https://www.nba.com/draft/2021/prospects/" &amp; LOWER(SUBSTITUTE(A10, " ", "-") &amp; ""))</f>
        <v>https://www.nba.com/draft/2021/prospects/jonathan-kuminga</v>
      </c>
      <c r="Y10" s="11">
        <v>37535</v>
      </c>
      <c r="Z10" s="14">
        <f>RANK(AA10,AA:AA,1)</f>
        <v>8</v>
      </c>
      <c r="AA10" s="13">
        <f>IFERROR( (3*IF(AB10&gt;0,AB10, 76) + 2*IF(AC10&gt;0,AC10, 18) + 2*IF(AD10&gt;0,AD10, 5) + 2*IF(AE10&gt;0,AE10, 70) + 2*IF(AF10&gt;0,AF10, 7)  + IF(AG10&gt;0,AG10, 51) + IF(AI10&gt;0,AI10, 9) +  IF(AH10&gt;0,AH10, 101) + 0.75*IF(AJ10&gt;0,AJ10, 101)), 99)</f>
        <v>111.75</v>
      </c>
      <c r="AB10" s="14">
        <v>8</v>
      </c>
      <c r="AC10" s="14">
        <v>17</v>
      </c>
      <c r="AD10" s="14">
        <v>4</v>
      </c>
      <c r="AE10" s="14">
        <v>10</v>
      </c>
      <c r="AF10" s="14">
        <v>4</v>
      </c>
      <c r="AG10" s="14">
        <v>6</v>
      </c>
      <c r="AH10" s="14">
        <v>5</v>
      </c>
      <c r="AI10" s="14">
        <v>3</v>
      </c>
      <c r="AJ10" s="14">
        <v>5</v>
      </c>
      <c r="AK10" s="2" t="str">
        <f>IFERROR(INDEX(measureables!$A:$J,MATCH($A10,measureables!$A:$A,FALSE),7), "")</f>
        <v>6'6</v>
      </c>
      <c r="AL10" s="2">
        <f>IFERROR(INDEX(measureables!$A:$J,MATCH($A10,measureables!$A:$A,FALSE),9), "")</f>
        <v>210</v>
      </c>
      <c r="AM10" s="2">
        <f>IFERROR(INDEX(measureables!$A:$J,MATCH($A10,measureables!$A:$A,FALSE),10), "")</f>
        <v>0</v>
      </c>
      <c r="AN10" s="2">
        <f>IFERROR(INDEX(measureables!$A:$J,MATCH($A10,measureables!$A:$A,FALSE),8), "")</f>
        <v>0</v>
      </c>
      <c r="AO10"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v>
      </c>
    </row>
    <row r="11" spans="1:41" ht="22" customHeight="1" x14ac:dyDescent="0.2">
      <c r="A11" t="s">
        <v>222</v>
      </c>
      <c r="B11" s="16" t="s">
        <v>12</v>
      </c>
      <c r="C11" s="3" t="s">
        <v>254</v>
      </c>
      <c r="E11" s="10">
        <f>YEARFRAC(Y11, $E$2, 1)</f>
        <v>18.904859685147159</v>
      </c>
      <c r="F11" s="8">
        <f>IFERROR(LEFT(AK11,FIND("'",AK11)-1)*12+SUBSTITUTE(MID(AK11,FIND("'",AK11)+1,LEN(AK11)),"''",""), "")</f>
        <v>81</v>
      </c>
      <c r="G11" s="8">
        <f>AL11</f>
        <v>240</v>
      </c>
      <c r="H11" s="8" t="str">
        <f>IFERROR(LEFT(AM11,FIND("'",AM11)-1)*12+SUBSTITUTE(MID(AM11,FIND("'",AM11)+1,LEN(AM11)),"''",""), "")</f>
        <v/>
      </c>
      <c r="I11" s="8" t="str">
        <f>IFERROR(LEFT(AN11,FIND("'",AN11)-1)*12+SUBSTITUTE(MID(AN11,FIND("'",AN11)+1,LEN(AN11)),"''",""), "")</f>
        <v/>
      </c>
      <c r="J11" s="8" t="str">
        <f>IFERROR(IF(AND(H11-F11&gt;= 0, H11 &gt; 0), "+", ""),"") &amp; IFERROR(IF(AND(H11-F11&gt;= -5, H11 &gt; 0), H11-F11, ""),"")</f>
        <v/>
      </c>
      <c r="K11" s="10" t="str">
        <f>IF(F11&gt;0, IFERROR((H11-60)/(F11-60),""), "")</f>
        <v/>
      </c>
      <c r="L11" s="3" t="s">
        <v>337</v>
      </c>
      <c r="M11" s="3" t="s">
        <v>339</v>
      </c>
      <c r="N11" s="3" t="s">
        <v>338</v>
      </c>
      <c r="P11" s="3" t="s">
        <v>352</v>
      </c>
      <c r="Q11" s="7">
        <v>52</v>
      </c>
      <c r="R11" s="3">
        <f>ROW()-2</f>
        <v>9</v>
      </c>
      <c r="S11" s="8">
        <f>IF(Q11=Q10,S10, MAX(S$2:S10)+1)</f>
        <v>3</v>
      </c>
      <c r="T11" s="8">
        <f>IFERROR(INDEX(actual!A:A,MATCH(A11,actual!B:B,FALSE)), "")</f>
        <v>16</v>
      </c>
      <c r="U11" s="8" t="str">
        <f>IFERROR(INDEX(actual!C:C,MATCH(A11,actual!B:B,FALSE)), "")</f>
        <v>HOU</v>
      </c>
      <c r="V11" s="4" t="str">
        <f>HYPERLINK(IF(D11="", "https://www.basketball-reference.com/international", "https://www.sports-reference.com/cbb") &amp; "/players/" &amp; LOWER(SUBSTITUTE(A11, " ", "-") &amp; "-1.html"))</f>
        <v>https://www.basketball-reference.com/international/players/alperen-sengun-1.html</v>
      </c>
      <c r="W11" s="4" t="str">
        <f>HYPERLINK("https://www.nbadraft.net/players/" &amp; LOWER(SUBSTITUTE(A11, " ", "-") &amp; ""))</f>
        <v>https://www.nbadraft.net/players/alperen-sengun</v>
      </c>
      <c r="X11" s="18" t="str">
        <f>HYPERLINK("https://www.nba.com/draft/2021/prospects/" &amp; LOWER(SUBSTITUTE(A11, " ", "-") &amp; ""))</f>
        <v>https://www.nba.com/draft/2021/prospects/alperen-sengun</v>
      </c>
      <c r="Y11" s="11">
        <v>37462</v>
      </c>
      <c r="Z11" s="14">
        <f>RANK(AA11,AA:AA,1)</f>
        <v>6</v>
      </c>
      <c r="AA11" s="13">
        <f>IFERROR( (3*IF(AB11&gt;0,AB11, 76) + 2*IF(AC11&gt;0,AC11, 18) + 2*IF(AD11&gt;0,AD11, 5) + 2*IF(AE11&gt;0,AE11, 70) + 2*IF(AF11&gt;0,AF11, 7)  + IF(AG11&gt;0,AG11, 51) + IF(AI11&gt;0,AI11, 9) +  IF(AH11&gt;0,AH11, 101) + 0.75*IF(AJ11&gt;0,AJ11, 101)), 99)</f>
        <v>90.25</v>
      </c>
      <c r="AB11" s="14">
        <v>4</v>
      </c>
      <c r="AC11" s="14">
        <v>7</v>
      </c>
      <c r="AD11" s="14">
        <v>3</v>
      </c>
      <c r="AE11" s="14">
        <v>9</v>
      </c>
      <c r="AF11" s="14">
        <v>4</v>
      </c>
      <c r="AG11" s="14">
        <v>9</v>
      </c>
      <c r="AH11" s="14">
        <v>8</v>
      </c>
      <c r="AI11" s="14">
        <v>4</v>
      </c>
      <c r="AJ11" s="14">
        <v>15</v>
      </c>
      <c r="AK11" s="2" t="str">
        <f>IFERROR(INDEX(measureables!$A:$J,MATCH($A11,measureables!$A:$A,FALSE),7), "")</f>
        <v>6'9</v>
      </c>
      <c r="AL11" s="2">
        <f>IFERROR(INDEX(measureables!$A:$J,MATCH($A11,measureables!$A:$A,FALSE),9), "")</f>
        <v>240</v>
      </c>
      <c r="AM11" s="2">
        <f>IFERROR(INDEX(measureables!$A:$J,MATCH($A11,measureables!$A:$A,FALSE),10), "")</f>
        <v>0</v>
      </c>
      <c r="AN11" s="2">
        <f>IFERROR(INDEX(measureables!$A:$J,MATCH($A11,measureables!$A:$A,FALSE),8), "")</f>
        <v>0</v>
      </c>
      <c r="AO11"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v>
      </c>
    </row>
    <row r="12" spans="1:41" ht="22" customHeight="1" x14ac:dyDescent="0.2">
      <c r="A12" t="s">
        <v>128</v>
      </c>
      <c r="B12" s="16" t="s">
        <v>325</v>
      </c>
      <c r="C12" s="3" t="s">
        <v>257</v>
      </c>
      <c r="D12" s="3" t="s">
        <v>19</v>
      </c>
      <c r="E12" s="10">
        <f>YEARFRAC(Y12, $E$2, 1)</f>
        <v>19.055441478439427</v>
      </c>
      <c r="F12" s="8">
        <f>IFERROR(LEFT(AK12,FIND("'",AK12)-1)*12+SUBSTITUTE(MID(AK12,FIND("'",AK12)+1,LEN(AK12)),"''",""), "")</f>
        <v>78</v>
      </c>
      <c r="G12" s="8">
        <f>AL12</f>
        <v>210.6</v>
      </c>
      <c r="H12" s="8">
        <f>IFERROR(LEFT(AM12,FIND("'",AM12)-1)*12+SUBSTITUTE(MID(AM12,FIND("'",AM12)+1,LEN(AM12)),"''",""), "")</f>
        <v>84.75</v>
      </c>
      <c r="I12" s="8">
        <f>IFERROR(LEFT(AN12,FIND("'",AN12)-1)*12+SUBSTITUTE(MID(AN12,FIND("'",AN12)+1,LEN(AN12)),"''",""), "")</f>
        <v>105</v>
      </c>
      <c r="J12" s="8" t="str">
        <f>IFERROR(IF(AND(H12-F12&gt;= 0, H12 &gt; 0), "+", ""),"") &amp; IFERROR(IF(AND(H12-F12&gt;= -5, H12 &gt; 0), H12-F12, ""),"")</f>
        <v>+6.75</v>
      </c>
      <c r="K12" s="10">
        <f>IF(F12&gt;0, IFERROR((H12-60)/(F12-60),""), "")</f>
        <v>1.375</v>
      </c>
      <c r="M12" s="3" t="s">
        <v>356</v>
      </c>
      <c r="N12" s="3" t="s">
        <v>357</v>
      </c>
      <c r="P12" s="3" t="s">
        <v>374</v>
      </c>
      <c r="Q12" s="7">
        <v>52</v>
      </c>
      <c r="R12" s="3">
        <f>ROW()-2</f>
        <v>10</v>
      </c>
      <c r="S12" s="8">
        <f>IF(Q12=Q11,S11, MAX(S$2:S11)+1)</f>
        <v>3</v>
      </c>
      <c r="T12" s="8">
        <f>IFERROR(INDEX(actual!A:A,MATCH(A12,actual!B:B,FALSE)), "")</f>
        <v>14</v>
      </c>
      <c r="U12" s="8" t="str">
        <f>IFERROR(INDEX(actual!C:C,MATCH(A12,actual!B:B,FALSE)), "")</f>
        <v>GSW</v>
      </c>
      <c r="V12" s="4" t="str">
        <f>HYPERLINK(IF(D12="", "https://www.basketball-reference.com/international", "https://www.sports-reference.com/cbb") &amp; "/players/" &amp; LOWER(SUBSTITUTE(A12, " ", "-") &amp; "-1.html"))</f>
        <v>https://www.sports-reference.com/cbb/players/moses-moody-1.html</v>
      </c>
      <c r="W12" s="4" t="str">
        <f>HYPERLINK("https://www.nbadraft.net/players/" &amp; LOWER(SUBSTITUTE(A12, " ", "-") &amp; ""))</f>
        <v>https://www.nbadraft.net/players/moses-moody</v>
      </c>
      <c r="X12" s="18" t="str">
        <f>HYPERLINK("https://www.nba.com/draft/2021/prospects/" &amp; LOWER(SUBSTITUTE(A12, " ", "-") &amp; ""))</f>
        <v>https://www.nba.com/draft/2021/prospects/moses-moody</v>
      </c>
      <c r="Y12" s="11">
        <v>37407</v>
      </c>
      <c r="Z12" s="14">
        <f>RANK(AA12,AA:AA,1)</f>
        <v>10</v>
      </c>
      <c r="AA12" s="13">
        <f>IFERROR( (3*IF(AB12&gt;0,AB12, 76) + 2*IF(AC12&gt;0,AC12, 18) + 2*IF(AD12&gt;0,AD12, 5) + 2*IF(AE12&gt;0,AE12, 70) + 2*IF(AF12&gt;0,AF12, 7)  + IF(AG12&gt;0,AG12, 51) + IF(AI12&gt;0,AI12, 9) +  IF(AH12&gt;0,AH12, 101) + 0.75*IF(AJ12&gt;0,AJ12, 101)), 99)</f>
        <v>124</v>
      </c>
      <c r="AB12" s="14">
        <v>14</v>
      </c>
      <c r="AC12" s="14">
        <v>12</v>
      </c>
      <c r="AD12" s="14">
        <v>3</v>
      </c>
      <c r="AE12" s="14">
        <v>4</v>
      </c>
      <c r="AF12" s="14">
        <v>3</v>
      </c>
      <c r="AG12" s="14">
        <v>15</v>
      </c>
      <c r="AH12" s="14">
        <v>7</v>
      </c>
      <c r="AI12" s="14">
        <v>4</v>
      </c>
      <c r="AJ12" s="14">
        <v>16</v>
      </c>
      <c r="AK12" s="2" t="str">
        <f>IFERROR(INDEX(measureables!$A:$J,MATCH($A12,measureables!$A:$A,FALSE),7), "")</f>
        <v>6'6.0''</v>
      </c>
      <c r="AL12" s="2">
        <f>IFERROR(INDEX(measureables!$A:$J,MATCH($A12,measureables!$A:$A,FALSE),9), "")</f>
        <v>210.6</v>
      </c>
      <c r="AM12" s="2" t="str">
        <f>IFERROR(INDEX(measureables!$A:$J,MATCH($A12,measureables!$A:$A,FALSE),10), "")</f>
        <v>7'0.75''</v>
      </c>
      <c r="AN12" s="2" t="str">
        <f>IFERROR(INDEX(measureables!$A:$J,MATCH($A12,measureables!$A:$A,FALSE),8), "")</f>
        <v>8'9.0''</v>
      </c>
      <c r="AO12"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v>
      </c>
    </row>
    <row r="13" spans="1:41" ht="22" customHeight="1" x14ac:dyDescent="0.2">
      <c r="A13" t="s">
        <v>143</v>
      </c>
      <c r="B13" s="16" t="s">
        <v>367</v>
      </c>
      <c r="C13" s="3" t="s">
        <v>260</v>
      </c>
      <c r="D13" s="3" t="s">
        <v>19</v>
      </c>
      <c r="E13" s="10">
        <f>YEARFRAC(Y13, $E$2, 1)</f>
        <v>18.735112936344969</v>
      </c>
      <c r="F13" s="8">
        <f>IFERROR(LEFT(AK13,FIND("'",AK13)-1)*12+SUBSTITUTE(MID(AK13,FIND("'",AK13)+1,LEN(AK13)),"''",""), "")</f>
        <v>76.25</v>
      </c>
      <c r="G13" s="8">
        <f>AL13</f>
        <v>202</v>
      </c>
      <c r="H13" s="8">
        <f>IFERROR(LEFT(AM13,FIND("'",AM13)-1)*12+SUBSTITUTE(MID(AM13,FIND("'",AM13)+1,LEN(AM13)),"''",""), "")</f>
        <v>79.75</v>
      </c>
      <c r="I13" s="8">
        <f>IFERROR(LEFT(AN13,FIND("'",AN13)-1)*12+SUBSTITUTE(MID(AN13,FIND("'",AN13)+1,LEN(AN13)),"''",""), "")</f>
        <v>99</v>
      </c>
      <c r="J13" s="8" t="str">
        <f>IFERROR(IF(AND(H13-F13&gt;= 0, H13 &gt; 0), "+", ""),"") &amp; IFERROR(IF(AND(H13-F13&gt;= -5, H13 &gt; 0), H13-F13, ""),"")</f>
        <v>+3.5</v>
      </c>
      <c r="K13" s="10">
        <f>IF(F13&gt;0, IFERROR((H13-60)/(F13-60),""), "")</f>
        <v>1.2153846153846153</v>
      </c>
      <c r="L13" s="3" t="s">
        <v>319</v>
      </c>
      <c r="M13" s="3" t="s">
        <v>369</v>
      </c>
      <c r="N13" s="3" t="s">
        <v>368</v>
      </c>
      <c r="P13" s="3" t="s">
        <v>375</v>
      </c>
      <c r="Q13" s="7">
        <v>50</v>
      </c>
      <c r="R13" s="3">
        <f>ROW()-2</f>
        <v>11</v>
      </c>
      <c r="S13" s="8">
        <f>IF(Q13=Q12,S12, MAX(S$2:S12)+1)</f>
        <v>4</v>
      </c>
      <c r="T13" s="8">
        <f>IFERROR(INDEX(actual!A:A,MATCH(A13,actual!B:B,FALSE)), "")</f>
        <v>28</v>
      </c>
      <c r="U13" s="8" t="str">
        <f>IFERROR(INDEX(actual!C:C,MATCH(A13,actual!B:B,FALSE)), "")</f>
        <v>PHI</v>
      </c>
      <c r="V13" s="4" t="str">
        <f>HYPERLINK(IF(D13="", "https://www.basketball-reference.com/international", "https://www.sports-reference.com/cbb") &amp; "/players/" &amp; LOWER(SUBSTITUTE(A13, " ", "-") &amp; "-1.html"))</f>
        <v>https://www.sports-reference.com/cbb/players/jaden-springer-1.html</v>
      </c>
      <c r="W13" s="4" t="str">
        <f>HYPERLINK("https://www.nbadraft.net/players/" &amp; LOWER(SUBSTITUTE(A13, " ", "-") &amp; ""))</f>
        <v>https://www.nbadraft.net/players/jaden-springer</v>
      </c>
      <c r="X13" s="18" t="str">
        <f>HYPERLINK("https://www.nba.com/draft/2021/prospects/" &amp; LOWER(SUBSTITUTE(A13, " ", "-") &amp; ""))</f>
        <v>https://www.nba.com/draft/2021/prospects/jaden-springer</v>
      </c>
      <c r="Y13" s="11">
        <v>37524</v>
      </c>
      <c r="Z13" s="14">
        <f>RANK(AA13,AA:AA,1)</f>
        <v>13</v>
      </c>
      <c r="AA13" s="13">
        <f>IFERROR( (3*IF(AB13&gt;0,AB13, 76) + 2*IF(AC13&gt;0,AC13, 18) + 2*IF(AD13&gt;0,AD13, 5) + 2*IF(AE13&gt;0,AE13, 70) + 2*IF(AF13&gt;0,AF13, 7)  + IF(AG13&gt;0,AG13, 51) + IF(AI13&gt;0,AI13, 9) +  IF(AH13&gt;0,AH13, 101) + 0.75*IF(AJ13&gt;0,AJ13, 101)), 99)</f>
        <v>172.25</v>
      </c>
      <c r="AB13" s="14">
        <v>20</v>
      </c>
      <c r="AC13" s="14">
        <v>10</v>
      </c>
      <c r="AD13" s="14">
        <v>3</v>
      </c>
      <c r="AE13" s="14">
        <v>8</v>
      </c>
      <c r="AF13" s="14">
        <v>3</v>
      </c>
      <c r="AG13" s="14">
        <v>20</v>
      </c>
      <c r="AH13" s="14">
        <v>20</v>
      </c>
      <c r="AI13" s="14">
        <v>4</v>
      </c>
      <c r="AJ13" s="14">
        <v>27</v>
      </c>
      <c r="AK13" s="2" t="str">
        <f>IFERROR(INDEX(measureables!$A:$J,MATCH($A13,measureables!$A:$A,FALSE),7), "")</f>
        <v>6'4.25''</v>
      </c>
      <c r="AL13" s="2">
        <f>IFERROR(INDEX(measureables!$A:$J,MATCH($A13,measureables!$A:$A,FALSE),9), "")</f>
        <v>202</v>
      </c>
      <c r="AM13" s="2" t="str">
        <f>IFERROR(INDEX(measureables!$A:$J,MATCH($A13,measureables!$A:$A,FALSE),10), "")</f>
        <v>6'7.75''</v>
      </c>
      <c r="AN13" s="2" t="str">
        <f>IFERROR(INDEX(measureables!$A:$J,MATCH($A13,measureables!$A:$A,FALSE),8), "")</f>
        <v>8'3.0''</v>
      </c>
      <c r="AO13"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v>
      </c>
    </row>
    <row r="14" spans="1:41" ht="22" customHeight="1" x14ac:dyDescent="0.2">
      <c r="A14" t="s">
        <v>196</v>
      </c>
      <c r="B14" s="16" t="s">
        <v>361</v>
      </c>
      <c r="C14" s="3" t="s">
        <v>259</v>
      </c>
      <c r="D14" s="3" t="s">
        <v>19</v>
      </c>
      <c r="E14" s="10">
        <f>YEARFRAC(Y14, $E$2, 1)</f>
        <v>19.505084745762712</v>
      </c>
      <c r="F14" s="8">
        <f>IFERROR(LEFT(AK14,FIND("'",AK14)-1)*12+SUBSTITUTE(MID(AK14,FIND("'",AK14)+1,LEN(AK14)),"''",""), "")</f>
        <v>81.25</v>
      </c>
      <c r="G14" s="8">
        <f>AL14</f>
        <v>209.6</v>
      </c>
      <c r="H14" s="8">
        <f>IFERROR(LEFT(AM14,FIND("'",AM14)-1)*12+SUBSTITUTE(MID(AM14,FIND("'",AM14)+1,LEN(AM14)),"''",""), "")</f>
        <v>84.25</v>
      </c>
      <c r="I14" s="8">
        <f>IFERROR(LEFT(AN14,FIND("'",AN14)-1)*12+SUBSTITUTE(MID(AN14,FIND("'",AN14)+1,LEN(AN14)),"''",""), "")</f>
        <v>106</v>
      </c>
      <c r="J14" s="8" t="str">
        <f>IFERROR(IF(AND(H14-F14&gt;= 0, H14 &gt; 0), "+", ""),"") &amp; IFERROR(IF(AND(H14-F14&gt;= -5, H14 &gt; 0), H14-F14, ""),"")</f>
        <v>+3</v>
      </c>
      <c r="K14" s="10">
        <f>IF(F14&gt;0, IFERROR((H14-60)/(F14-60),""), "")</f>
        <v>1.1411764705882352</v>
      </c>
      <c r="M14" s="3" t="s">
        <v>363</v>
      </c>
      <c r="N14" s="3" t="s">
        <v>364</v>
      </c>
      <c r="P14" s="3" t="s">
        <v>365</v>
      </c>
      <c r="Q14" s="7">
        <v>50</v>
      </c>
      <c r="R14" s="3">
        <f>ROW()-2</f>
        <v>12</v>
      </c>
      <c r="S14" s="8">
        <f>IF(Q14=Q13,S13, MAX(S$2:S13)+1)</f>
        <v>4</v>
      </c>
      <c r="T14" s="8">
        <f>IFERROR(INDEX(actual!A:A,MATCH(A14,actual!B:B,FALSE)), "")</f>
        <v>20</v>
      </c>
      <c r="U14" s="8" t="str">
        <f>IFERROR(INDEX(actual!C:C,MATCH(A14,actual!B:B,FALSE)), "")</f>
        <v>ATL</v>
      </c>
      <c r="V14" s="17" t="s">
        <v>362</v>
      </c>
      <c r="W14" s="4" t="str">
        <f>HYPERLINK("https://www.nbadraft.net/players/" &amp; LOWER(SUBSTITUTE(A14, " ", "-") &amp; ""))</f>
        <v>https://www.nbadraft.net/players/jalen-johnson</v>
      </c>
      <c r="X14" s="18" t="str">
        <f>HYPERLINK("https://www.nba.com/draft/2021/prospects/" &amp; LOWER(SUBSTITUTE(A14, " ", "-") &amp; ""))</f>
        <v>https://www.nba.com/draft/2021/prospects/jalen-johnson</v>
      </c>
      <c r="Y14" s="11">
        <v>37243</v>
      </c>
      <c r="Z14" s="14">
        <f>RANK(AA14,AA:AA,1)</f>
        <v>12</v>
      </c>
      <c r="AA14" s="13">
        <f>IFERROR( (3*IF(AB14&gt;0,AB14, 76) + 2*IF(AC14&gt;0,AC14, 18) + 2*IF(AD14&gt;0,AD14, 5) + 2*IF(AE14&gt;0,AE14, 70) + 2*IF(AF14&gt;0,AF14, 7)  + IF(AG14&gt;0,AG14, 51) + IF(AI14&gt;0,AI14, 9) +  IF(AH14&gt;0,AH14, 101) + 0.75*IF(AJ14&gt;0,AJ14, 101)), 99)</f>
        <v>160</v>
      </c>
      <c r="AB14" s="14">
        <v>9</v>
      </c>
      <c r="AC14" s="14">
        <v>9</v>
      </c>
      <c r="AD14" s="14">
        <v>3</v>
      </c>
      <c r="AE14" s="14">
        <v>18</v>
      </c>
      <c r="AF14" s="14">
        <v>4</v>
      </c>
      <c r="AG14" s="14">
        <v>26</v>
      </c>
      <c r="AH14" s="14">
        <v>25</v>
      </c>
      <c r="AI14" s="14">
        <v>5</v>
      </c>
      <c r="AJ14" s="14">
        <v>12</v>
      </c>
      <c r="AK14" s="2" t="str">
        <f>IFERROR(INDEX(measureables!$A:$J,MATCH($A14,measureables!$A:$A,FALSE),7), "")</f>
        <v>6'9.25''</v>
      </c>
      <c r="AL14" s="2">
        <f>IFERROR(INDEX(measureables!$A:$J,MATCH($A14,measureables!$A:$A,FALSE),9), "")</f>
        <v>209.6</v>
      </c>
      <c r="AM14" s="2" t="str">
        <f>IFERROR(INDEX(measureables!$A:$J,MATCH($A14,measureables!$A:$A,FALSE),10), "")</f>
        <v>7'0.25''</v>
      </c>
      <c r="AN14" s="2" t="str">
        <f>IFERROR(INDEX(measureables!$A:$J,MATCH($A14,measureables!$A:$A,FALSE),8), "")</f>
        <v>8'10.0''</v>
      </c>
      <c r="AO14"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v>
      </c>
    </row>
    <row r="15" spans="1:41" ht="22" customHeight="1" x14ac:dyDescent="0.2">
      <c r="A15" t="s">
        <v>173</v>
      </c>
      <c r="B15" s="16" t="s">
        <v>16</v>
      </c>
      <c r="C15" s="3" t="s">
        <v>258</v>
      </c>
      <c r="D15" s="3" t="s">
        <v>256</v>
      </c>
      <c r="E15" s="10">
        <f>YEARFRAC(Y15, $E$2, 1)</f>
        <v>20.751617720258835</v>
      </c>
      <c r="F15" s="8">
        <f>IFERROR(LEFT(AK15,FIND("'",AK15)-1)*12+SUBSTITUTE(MID(AK15,FIND("'",AK15)+1,LEN(AK15)),"''",""), "")</f>
        <v>76.75</v>
      </c>
      <c r="G15" s="8">
        <f>AL15</f>
        <v>190</v>
      </c>
      <c r="H15" s="8">
        <f>IFERROR(LEFT(AM15,FIND("'",AM15)-1)*12+SUBSTITUTE(MID(AM15,FIND("'",AM15)+1,LEN(AM15)),"''",""), "")</f>
        <v>80.25</v>
      </c>
      <c r="I15" s="8">
        <f>IFERROR(LEFT(AN15,FIND("'",AN15)-1)*12+SUBSTITUTE(MID(AN15,FIND("'",AN15)+1,LEN(AN15)),"''",""), "")</f>
        <v>101.5</v>
      </c>
      <c r="J15" s="8" t="str">
        <f>IFERROR(IF(AND(H15-F15&gt;= 0, H15 &gt; 0), "+", ""),"") &amp; IFERROR(IF(AND(H15-F15&gt;= -5, H15 &gt; 0), H15-F15, ""),"")</f>
        <v>+3.5</v>
      </c>
      <c r="K15" s="10">
        <f>IF(F15&gt;0, IFERROR((H15-60)/(F15-60),""), "")</f>
        <v>1.208955223880597</v>
      </c>
      <c r="M15" s="3" t="s">
        <v>358</v>
      </c>
      <c r="N15" s="3" t="s">
        <v>359</v>
      </c>
      <c r="P15" s="3" t="s">
        <v>360</v>
      </c>
      <c r="Q15" s="7">
        <v>50</v>
      </c>
      <c r="R15" s="3">
        <f>ROW()-2</f>
        <v>13</v>
      </c>
      <c r="S15" s="8">
        <f>IF(Q15=Q14,S14, MAX(S$2:S14)+1)</f>
        <v>4</v>
      </c>
      <c r="T15" s="8">
        <f>IFERROR(INDEX(actual!A:A,MATCH(A15,actual!B:B,FALSE)), "")</f>
        <v>11</v>
      </c>
      <c r="U15" s="8" t="str">
        <f>IFERROR(INDEX(actual!C:C,MATCH(A15,actual!B:B,FALSE)), "")</f>
        <v>CHA</v>
      </c>
      <c r="V15" s="4" t="str">
        <f>HYPERLINK(IF(D15="", "https://www.basketball-reference.com/international", "https://www.sports-reference.com/cbb") &amp; "/players/" &amp; LOWER(SUBSTITUTE(A15, " ", "-") &amp; "-1.html"))</f>
        <v>https://www.sports-reference.com/cbb/players/james-bouknight-1.html</v>
      </c>
      <c r="W15" s="4" t="str">
        <f>HYPERLINK("https://www.nbadraft.net/players/" &amp; LOWER(SUBSTITUTE(A15, " ", "-") &amp; ""))</f>
        <v>https://www.nbadraft.net/players/james-bouknight</v>
      </c>
      <c r="X15" s="18" t="str">
        <f>HYPERLINK("https://www.nba.com/draft/2021/prospects/" &amp; LOWER(SUBSTITUTE(A15, " ", "-") &amp; ""))</f>
        <v>https://www.nba.com/draft/2021/prospects/james-bouknight</v>
      </c>
      <c r="Y15" s="11">
        <v>36787</v>
      </c>
      <c r="Z15" s="14">
        <f>RANK(AA15,AA:AA,1)</f>
        <v>11</v>
      </c>
      <c r="AA15" s="13">
        <f>IFERROR( (3*IF(AB15&gt;0,AB15, 76) + 2*IF(AC15&gt;0,AC15, 18) + 2*IF(AD15&gt;0,AD15, 5) + 2*IF(AE15&gt;0,AE15, 70) + 2*IF(AF15&gt;0,AF15, 7)  + IF(AG15&gt;0,AG15, 51) + IF(AI15&gt;0,AI15, 9) +  IF(AH15&gt;0,AH15, 101) + 0.75*IF(AJ15&gt;0,AJ15, 101)), 99)</f>
        <v>151</v>
      </c>
      <c r="AB15" s="14">
        <v>13</v>
      </c>
      <c r="AE15" s="14">
        <v>16</v>
      </c>
      <c r="AF15" s="14">
        <v>4</v>
      </c>
      <c r="AG15" s="14">
        <v>7</v>
      </c>
      <c r="AH15" s="14">
        <v>9</v>
      </c>
      <c r="AI15" s="14">
        <v>4</v>
      </c>
      <c r="AJ15" s="14">
        <v>8</v>
      </c>
      <c r="AK15" s="2" t="str">
        <f>IFERROR(INDEX(measureables!$A:$J,MATCH($A15,measureables!$A:$A,FALSE),7), "")</f>
        <v>6'4.75''</v>
      </c>
      <c r="AL15" s="2">
        <f>IFERROR(INDEX(measureables!$A:$J,MATCH($A15,measureables!$A:$A,FALSE),9), "")</f>
        <v>190</v>
      </c>
      <c r="AM15" s="2" t="str">
        <f>IFERROR(INDEX(measureables!$A:$J,MATCH($A15,measureables!$A:$A,FALSE),10), "")</f>
        <v>6'8.25''</v>
      </c>
      <c r="AN15" s="2" t="str">
        <f>IFERROR(INDEX(measureables!$A:$J,MATCH($A15,measureables!$A:$A,FALSE),8), "")</f>
        <v>8'5.5''</v>
      </c>
      <c r="AO15"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v>
      </c>
    </row>
    <row r="16" spans="1:41" ht="22" customHeight="1" x14ac:dyDescent="0.2">
      <c r="A16" t="s">
        <v>185</v>
      </c>
      <c r="B16" s="16" t="s">
        <v>15</v>
      </c>
      <c r="C16" s="3" t="s">
        <v>261</v>
      </c>
      <c r="D16" s="3" t="s">
        <v>262</v>
      </c>
      <c r="E16" s="10">
        <f>YEARFRAC(Y16, $E$2, 1)</f>
        <v>18.819986310746064</v>
      </c>
      <c r="F16" s="8">
        <f>IFERROR(LEFT(AK16,FIND("'",AK16)-1)*12+SUBSTITUTE(MID(AK16,FIND("'",AK16)+1,LEN(AK16)),"''",""), "")</f>
        <v>75.75</v>
      </c>
      <c r="G16" s="8">
        <f>AL16</f>
        <v>193</v>
      </c>
      <c r="H16" s="8">
        <f>IFERROR(LEFT(AM16,FIND("'",AM16)-1)*12+SUBSTITUTE(MID(AM16,FIND("'",AM16)+1,LEN(AM16)),"''",""), "")</f>
        <v>76</v>
      </c>
      <c r="I16" s="8">
        <f>IFERROR(LEFT(AN16,FIND("'",AN16)-1)*12+SUBSTITUTE(MID(AN16,FIND("'",AN16)+1,LEN(AN16)),"''",""), "")</f>
        <v>98.5</v>
      </c>
      <c r="J16" s="8" t="str">
        <f>IFERROR(IF(AND(H16-F16&gt;= 0, H16 &gt; 0), "+", ""),"") &amp; IFERROR(IF(AND(H16-F16&gt;= -5, H16 &gt; 0), H16-F16, ""),"")</f>
        <v>+0.25</v>
      </c>
      <c r="K16" s="10">
        <f>IF(F16&gt;0, IFERROR((H16-60)/(F16-60),""), "")</f>
        <v>1.0158730158730158</v>
      </c>
      <c r="M16" s="3" t="s">
        <v>381</v>
      </c>
      <c r="N16" s="3" t="s">
        <v>366</v>
      </c>
      <c r="Q16" s="7">
        <v>47</v>
      </c>
      <c r="R16" s="3">
        <f>ROW()-2</f>
        <v>14</v>
      </c>
      <c r="S16" s="8">
        <f>IF(Q16=Q15,S15, MAX(S$2:S15)+1)</f>
        <v>5</v>
      </c>
      <c r="T16" s="8">
        <f>IFERROR(INDEX(actual!A:A,MATCH(A16,actual!B:B,FALSE)), "")</f>
        <v>40</v>
      </c>
      <c r="U16" s="8" t="str">
        <f>IFERROR(INDEX(actual!C:C,MATCH(A16,actual!B:B,FALSE)), "")</f>
        <v>UTA</v>
      </c>
      <c r="V16" s="4" t="str">
        <f>HYPERLINK(IF(D16="", "https://www.basketball-reference.com/international", "https://www.sports-reference.com/cbb") &amp; "/players/" &amp; LOWER(SUBSTITUTE(A16, " ", "-") &amp; "-1.html"))</f>
        <v>https://www.sports-reference.com/cbb/players/jared-butler-1.html</v>
      </c>
      <c r="W16" s="4" t="str">
        <f>HYPERLINK("https://www.nbadraft.net/players/" &amp; LOWER(SUBSTITUTE(A16, " ", "-") &amp; ""))</f>
        <v>https://www.nbadraft.net/players/jared-butler</v>
      </c>
      <c r="X16" s="18" t="str">
        <f>HYPERLINK("https://www.nba.com/draft/2021/prospects/" &amp; LOWER(SUBSTITUTE(A16, " ", "-") &amp; ""))</f>
        <v>https://www.nba.com/draft/2021/prospects/jared-butler</v>
      </c>
      <c r="Y16" s="11">
        <v>37493</v>
      </c>
      <c r="Z16" s="14">
        <f>RANK(AA16,AA:AA,1)</f>
        <v>16</v>
      </c>
      <c r="AA16" s="13">
        <f>IFERROR( (3*IF(AB16&gt;0,AB16, 76) + 2*IF(AC16&gt;0,AC16, 18) + 2*IF(AD16&gt;0,AD16, 5) + 2*IF(AE16&gt;0,AE16, 70) + 2*IF(AF16&gt;0,AF16, 7)  + IF(AG16&gt;0,AG16, 51) + IF(AI16&gt;0,AI16, 9) +  IF(AH16&gt;0,AH16, 101) + 0.75*IF(AJ16&gt;0,AJ16, 101)), 99)</f>
        <v>186.75</v>
      </c>
      <c r="AB16" s="14">
        <v>11</v>
      </c>
      <c r="AC16" s="14">
        <v>16</v>
      </c>
      <c r="AD16" s="14">
        <v>4</v>
      </c>
      <c r="AE16" s="14">
        <v>20</v>
      </c>
      <c r="AF16" s="14">
        <v>5</v>
      </c>
      <c r="AG16" s="14">
        <v>27</v>
      </c>
      <c r="AH16" s="14">
        <v>17</v>
      </c>
      <c r="AI16" s="14">
        <v>4</v>
      </c>
      <c r="AJ16" s="14">
        <v>21</v>
      </c>
      <c r="AK16" s="2" t="str">
        <f>IFERROR(INDEX(measureables!$A:$J,MATCH($A16,measureables!$A:$A,FALSE),7), "")</f>
        <v>6'3.75''</v>
      </c>
      <c r="AL16" s="2">
        <f>IFERROR(INDEX(measureables!$A:$J,MATCH($A16,measureables!$A:$A,FALSE),9), "")</f>
        <v>193</v>
      </c>
      <c r="AM16" s="2" t="str">
        <f>IFERROR(INDEX(measureables!$A:$J,MATCH($A16,measureables!$A:$A,FALSE),10), "")</f>
        <v>6'4.0''</v>
      </c>
      <c r="AN16" s="2" t="str">
        <f>IFERROR(INDEX(measureables!$A:$J,MATCH($A16,measureables!$A:$A,FALSE),8), "")</f>
        <v>8'2.5''</v>
      </c>
      <c r="AO16"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v>
      </c>
    </row>
    <row r="17" spans="1:41" ht="22" customHeight="1" x14ac:dyDescent="0.2">
      <c r="A17" t="s">
        <v>200</v>
      </c>
      <c r="B17" s="16" t="s">
        <v>16</v>
      </c>
      <c r="C17" s="3" t="s">
        <v>260</v>
      </c>
      <c r="D17" s="3" t="s">
        <v>19</v>
      </c>
      <c r="E17" s="10">
        <f>YEARFRAC(Y17, $E$2, 1)</f>
        <v>19.279945242984258</v>
      </c>
      <c r="F17" s="8">
        <f>IFERROR(LEFT(AK17,FIND("'",AK17)-1)*12+SUBSTITUTE(MID(AK17,FIND("'",AK17)+1,LEN(AK17)),"''",""), "")</f>
        <v>76.75</v>
      </c>
      <c r="G17" s="8">
        <f>AL17</f>
        <v>184.8</v>
      </c>
      <c r="H17" s="8">
        <f>IFERROR(LEFT(AM17,FIND("'",AM17)-1)*12+SUBSTITUTE(MID(AM17,FIND("'",AM17)+1,LEN(AM17)),"''",""), "")</f>
        <v>79.25</v>
      </c>
      <c r="I17" s="8">
        <f>IFERROR(LEFT(AN17,FIND("'",AN17)-1)*12+SUBSTITUTE(MID(AN17,FIND("'",AN17)+1,LEN(AN17)),"''",""), "")</f>
        <v>97</v>
      </c>
      <c r="J17" s="8" t="str">
        <f>IFERROR(IF(AND(H17-F17&gt;= 0, H17 &gt; 0), "+", ""),"") &amp; IFERROR(IF(AND(H17-F17&gt;= -5, H17 &gt; 0), H17-F17, ""),"")</f>
        <v>+2.5</v>
      </c>
      <c r="K17" s="10">
        <f>IF(F17&gt;0, IFERROR((H17-60)/(F17-60),""), "")</f>
        <v>1.1492537313432836</v>
      </c>
      <c r="L17" s="3" t="s">
        <v>371</v>
      </c>
      <c r="M17" s="3" t="s">
        <v>372</v>
      </c>
      <c r="N17" s="3" t="s">
        <v>373</v>
      </c>
      <c r="P17" s="3" t="s">
        <v>376</v>
      </c>
      <c r="Q17" s="7">
        <v>47</v>
      </c>
      <c r="R17" s="3">
        <f>ROW()-2</f>
        <v>15</v>
      </c>
      <c r="S17" s="8">
        <f>IF(Q17=Q16,S16, MAX(S$2:S16)+1)</f>
        <v>5</v>
      </c>
      <c r="T17" s="8">
        <f>IFERROR(INDEX(actual!A:A,MATCH(A17,actual!B:B,FALSE)), "")</f>
        <v>21</v>
      </c>
      <c r="U17" s="8" t="str">
        <f>IFERROR(INDEX(actual!C:C,MATCH(A17,actual!B:B,FALSE)), "")</f>
        <v>LAC</v>
      </c>
      <c r="V17" s="17" t="s">
        <v>370</v>
      </c>
      <c r="W17" s="4" t="str">
        <f>HYPERLINK("https://www.nbadraft.net/players/" &amp; LOWER(SUBSTITUTE(A17, " ", "-") &amp; ""))</f>
        <v>https://www.nbadraft.net/players/keon-johnson</v>
      </c>
      <c r="X17" s="18" t="str">
        <f>HYPERLINK("https://www.nba.com/draft/2021/prospects/" &amp; LOWER(SUBSTITUTE(A17, " ", "-") &amp; ""))</f>
        <v>https://www.nba.com/draft/2021/prospects/keon-johnson</v>
      </c>
      <c r="Y17" s="11">
        <v>37325</v>
      </c>
      <c r="Z17" s="14">
        <f>RANK(AA17,AA:AA,1)</f>
        <v>14</v>
      </c>
      <c r="AA17" s="13">
        <f>IFERROR( (3*IF(AB17&gt;0,AB17, 76) + 2*IF(AC17&gt;0,AC17, 18) + 2*IF(AD17&gt;0,AD17, 5) + 2*IF(AE17&gt;0,AE17, 70) + 2*IF(AF17&gt;0,AF17, 7)  + IF(AG17&gt;0,AG17, 51) + IF(AI17&gt;0,AI17, 9) +  IF(AH17&gt;0,AH17, 101) + 0.75*IF(AJ17&gt;0,AJ17, 101)), 99)</f>
        <v>173.75</v>
      </c>
      <c r="AB17" s="14">
        <v>18</v>
      </c>
      <c r="AC17" s="14">
        <v>14</v>
      </c>
      <c r="AD17" s="14">
        <v>4</v>
      </c>
      <c r="AE17" s="14">
        <v>14</v>
      </c>
      <c r="AF17" s="14">
        <v>4</v>
      </c>
      <c r="AG17" s="14">
        <v>16</v>
      </c>
      <c r="AH17" s="14">
        <v>21</v>
      </c>
      <c r="AI17" s="14">
        <v>4</v>
      </c>
      <c r="AJ17" s="14">
        <v>9</v>
      </c>
      <c r="AK17" s="2" t="str">
        <f>IFERROR(INDEX(measureables!$A:$J,MATCH($A17,measureables!$A:$A,FALSE),7), "")</f>
        <v>6'4.75''</v>
      </c>
      <c r="AL17" s="2">
        <f>IFERROR(INDEX(measureables!$A:$J,MATCH($A17,measureables!$A:$A,FALSE),9), "")</f>
        <v>184.8</v>
      </c>
      <c r="AM17" s="2" t="str">
        <f>IFERROR(INDEX(measureables!$A:$J,MATCH($A17,measureables!$A:$A,FALSE),10), "")</f>
        <v>6'7.25''</v>
      </c>
      <c r="AN17" s="2" t="str">
        <f>IFERROR(INDEX(measureables!$A:$J,MATCH($A17,measureables!$A:$A,FALSE),8), "")</f>
        <v>8'1.0''</v>
      </c>
      <c r="AO17"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v>
      </c>
    </row>
    <row r="18" spans="1:41" ht="22" customHeight="1" x14ac:dyDescent="0.2">
      <c r="A18" t="s">
        <v>153</v>
      </c>
      <c r="B18" s="16" t="s">
        <v>325</v>
      </c>
      <c r="C18" s="3" t="s">
        <v>267</v>
      </c>
      <c r="D18" s="3" t="s">
        <v>19</v>
      </c>
      <c r="E18" s="10">
        <f>YEARFRAC(Y18, $E$2, 1)</f>
        <v>19.559843546284224</v>
      </c>
      <c r="F18" s="8">
        <f>IFERROR(LEFT(AK18,FIND("'",AK18)-1)*12+SUBSTITUTE(MID(AK18,FIND("'",AK18)+1,LEN(AK18)),"''",""), "")</f>
        <v>79</v>
      </c>
      <c r="G18" s="8">
        <f>AL18</f>
        <v>188</v>
      </c>
      <c r="H18" s="8">
        <f>IFERROR(LEFT(AM18,FIND("'",AM18)-1)*12+SUBSTITUTE(MID(AM18,FIND("'",AM18)+1,LEN(AM18)),"''",""), "")</f>
        <v>82.75</v>
      </c>
      <c r="I18" s="8">
        <f>IFERROR(LEFT(AN18,FIND("'",AN18)-1)*12+SUBSTITUTE(MID(AN18,FIND("'",AN18)+1,LEN(AN18)),"''",""), "")</f>
        <v>104</v>
      </c>
      <c r="J18" s="8" t="str">
        <f>IFERROR(IF(AND(H18-F18&gt;= 0, H18 &gt; 0), "+", ""),"") &amp; IFERROR(IF(AND(H18-F18&gt;= -5, H18 &gt; 0), H18-F18, ""),"")</f>
        <v>+3.75</v>
      </c>
      <c r="K18" s="10">
        <f>IF(F18&gt;0, IFERROR((H18-60)/(F18-60),""), "")</f>
        <v>1.1973684210526316</v>
      </c>
      <c r="M18" s="3" t="s">
        <v>398</v>
      </c>
      <c r="N18" s="3" t="s">
        <v>399</v>
      </c>
      <c r="Q18" s="7">
        <v>47</v>
      </c>
      <c r="R18" s="3">
        <f>ROW()-2</f>
        <v>16</v>
      </c>
      <c r="S18" s="8">
        <f>IF(Q18=Q17,S17, MAX(S$2:S17)+1)</f>
        <v>5</v>
      </c>
      <c r="T18" s="8">
        <f>IFERROR(INDEX(actual!A:A,MATCH(A18,actual!B:B,FALSE)), "")</f>
        <v>51</v>
      </c>
      <c r="U18" s="8" t="str">
        <f>IFERROR(INDEX(actual!C:C,MATCH(A18,actual!B:B,FALSE)), "")</f>
        <v>LAC</v>
      </c>
      <c r="V18" s="17" t="s">
        <v>396</v>
      </c>
      <c r="W18" s="17" t="s">
        <v>397</v>
      </c>
      <c r="X18" s="17" t="s">
        <v>280</v>
      </c>
      <c r="Y18" s="11">
        <v>37223</v>
      </c>
      <c r="Z18" s="14">
        <f>RANK(AA18,AA:AA,1)</f>
        <v>32</v>
      </c>
      <c r="AA18" s="13">
        <f>IFERROR( (3*IF(AB18&gt;0,AB18, 76) + 2*IF(AC18&gt;0,AC18, 18) + 2*IF(AD18&gt;0,AD18, 5) + 2*IF(AE18&gt;0,AE18, 70) + 2*IF(AF18&gt;0,AF18, 7)  + IF(AG18&gt;0,AG18, 51) + IF(AI18&gt;0,AI18, 9) +  IF(AH18&gt;0,AH18, 101) + 0.75*IF(AJ18&gt;0,AJ18, 101)), 99)</f>
        <v>335.25</v>
      </c>
      <c r="AB18" s="14">
        <v>45</v>
      </c>
      <c r="AC18" s="14">
        <v>13</v>
      </c>
      <c r="AD18" s="14">
        <v>4</v>
      </c>
      <c r="AE18" s="14">
        <v>22</v>
      </c>
      <c r="AF18" s="14">
        <v>5</v>
      </c>
      <c r="AG18" s="14">
        <v>37</v>
      </c>
      <c r="AH18" s="14">
        <v>41</v>
      </c>
      <c r="AI18" s="14">
        <v>5</v>
      </c>
      <c r="AJ18" s="14">
        <v>39</v>
      </c>
      <c r="AK18" s="2" t="str">
        <f>IFERROR(INDEX(measureables!$A:$J,MATCH($A18,measureables!$A:$A,FALSE),7), "")</f>
        <v>6'7.0''</v>
      </c>
      <c r="AL18" s="2">
        <f>IFERROR(INDEX(measureables!$A:$J,MATCH($A18,measureables!$A:$A,FALSE),9), "")</f>
        <v>188</v>
      </c>
      <c r="AM18" s="2" t="str">
        <f>IFERROR(INDEX(measureables!$A:$J,MATCH($A18,measureables!$A:$A,FALSE),10), "")</f>
        <v>6'10.75''</v>
      </c>
      <c r="AN18" s="2" t="str">
        <f>IFERROR(INDEX(measureables!$A:$J,MATCH($A18,measureables!$A:$A,FALSE),8), "")</f>
        <v>8'8.0''</v>
      </c>
      <c r="AO18"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v>
      </c>
    </row>
    <row r="19" spans="1:41" ht="22" customHeight="1" x14ac:dyDescent="0.2">
      <c r="A19" t="s">
        <v>199</v>
      </c>
      <c r="B19" s="16" t="s">
        <v>325</v>
      </c>
      <c r="C19" s="3" t="s">
        <v>268</v>
      </c>
      <c r="D19" s="3" t="s">
        <v>19</v>
      </c>
      <c r="E19" s="10">
        <f>YEARFRAC(Y19, $E$2, 1)</f>
        <v>19.770664928292046</v>
      </c>
      <c r="F19" s="8">
        <f>IFERROR(LEFT(AK19,FIND("'",AK19)-1)*12+SUBSTITUTE(MID(AK19,FIND("'",AK19)+1,LEN(AK19)),"''",""), "")</f>
        <v>81.75</v>
      </c>
      <c r="G19" s="8">
        <f>AL19</f>
        <v>188.4</v>
      </c>
      <c r="H19" s="8">
        <f>IFERROR(LEFT(AM19,FIND("'",AM19)-1)*12+SUBSTITUTE(MID(AM19,FIND("'",AM19)+1,LEN(AM19)),"''",""), "")</f>
        <v>82.25</v>
      </c>
      <c r="I19" s="8">
        <f>IFERROR(LEFT(AN19,FIND("'",AN19)-1)*12+SUBSTITUTE(MID(AN19,FIND("'",AN19)+1,LEN(AN19)),"''",""), "")</f>
        <v>106.5</v>
      </c>
      <c r="J19" s="8" t="str">
        <f>IFERROR(IF(AND(H19-F19&gt;= 0, H19 &gt; 0), "+", ""),"") &amp; IFERROR(IF(AND(H19-F19&gt;= -5, H19 &gt; 0), H19-F19, ""),"")</f>
        <v>+0.5</v>
      </c>
      <c r="K19" s="10">
        <f>IF(F19&gt;0, IFERROR((H19-60)/(F19-60),""), "")</f>
        <v>1.0229885057471264</v>
      </c>
      <c r="M19" s="3" t="s">
        <v>395</v>
      </c>
      <c r="N19" s="3" t="s">
        <v>385</v>
      </c>
      <c r="Q19" s="7">
        <v>47</v>
      </c>
      <c r="R19" s="3">
        <f>ROW()-2</f>
        <v>17</v>
      </c>
      <c r="S19" s="8">
        <f>IF(Q19=Q18,S18, MAX(S$2:S18)+1)</f>
        <v>5</v>
      </c>
      <c r="T19" s="8">
        <f>IFERROR(INDEX(actual!A:A,MATCH(A19,actual!B:B,FALSE)), "")</f>
        <v>10</v>
      </c>
      <c r="U19" s="8" t="str">
        <f>IFERROR(INDEX(actual!C:C,MATCH(A19,actual!B:B,FALSE)), "")</f>
        <v>MEM</v>
      </c>
      <c r="V19" s="4" t="str">
        <f>HYPERLINK(IF(D19="", "https://www.basketball-reference.com/international", "https://www.sports-reference.com/cbb") &amp; "/players/" &amp; LOWER(SUBSTITUTE(A19, " ", "-") &amp; "-1.html"))</f>
        <v>https://www.sports-reference.com/cbb/players/ziaire-williams-1.html</v>
      </c>
      <c r="W19" s="4" t="str">
        <f>HYPERLINK("https://www.nbadraft.net/players/" &amp; LOWER(SUBSTITUTE(A19, " ", "-") &amp; ""))</f>
        <v>https://www.nbadraft.net/players/ziaire-williams</v>
      </c>
      <c r="X19" s="18" t="str">
        <f>HYPERLINK("https://www.nba.com/draft/2021/prospects/" &amp; LOWER(SUBSTITUTE(A19, " ", "-") &amp; ""))</f>
        <v>https://www.nba.com/draft/2021/prospects/ziaire-williams</v>
      </c>
      <c r="Y19" s="11">
        <v>37146</v>
      </c>
      <c r="Z19" s="14">
        <f>RANK(AA19,AA:AA,1)</f>
        <v>21</v>
      </c>
      <c r="AA19" s="13">
        <f>IFERROR( (3*IF(AB19&gt;0,AB19, 76) + 2*IF(AC19&gt;0,AC19, 18) + 2*IF(AD19&gt;0,AD19, 5) + 2*IF(AE19&gt;0,AE19, 70) + 2*IF(AF19&gt;0,AF19, 7)  + IF(AG19&gt;0,AG19, 51) + IF(AI19&gt;0,AI19, 9) +  IF(AH19&gt;0,AH19, 101) + 0.75*IF(AJ19&gt;0,AJ19, 101)), 99)</f>
        <v>232</v>
      </c>
      <c r="AB19" s="14">
        <v>30</v>
      </c>
      <c r="AE19" s="14">
        <v>13</v>
      </c>
      <c r="AF19" s="14">
        <v>4</v>
      </c>
      <c r="AG19" s="14">
        <v>25</v>
      </c>
      <c r="AH19" s="14">
        <v>15</v>
      </c>
      <c r="AI19" s="14">
        <v>4</v>
      </c>
      <c r="AJ19" s="14">
        <v>24</v>
      </c>
      <c r="AK19" s="2" t="str">
        <f>IFERROR(INDEX(measureables!$A:$J,MATCH($A19,measureables!$A:$A,FALSE),7), "")</f>
        <v>6'9.75''</v>
      </c>
      <c r="AL19" s="2">
        <f>IFERROR(INDEX(measureables!$A:$J,MATCH($A19,measureables!$A:$A,FALSE),9), "")</f>
        <v>188.4</v>
      </c>
      <c r="AM19" s="2" t="str">
        <f>IFERROR(INDEX(measureables!$A:$J,MATCH($A19,measureables!$A:$A,FALSE),10), "")</f>
        <v>6'10.25''</v>
      </c>
      <c r="AN19" s="2" t="str">
        <f>IFERROR(INDEX(measureables!$A:$J,MATCH($A19,measureables!$A:$A,FALSE),8), "")</f>
        <v>8'10.5''</v>
      </c>
      <c r="AO19"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v>
      </c>
    </row>
    <row r="20" spans="1:41" ht="22" customHeight="1" x14ac:dyDescent="0.2">
      <c r="A20" t="s">
        <v>226</v>
      </c>
      <c r="B20" s="16" t="s">
        <v>324</v>
      </c>
      <c r="C20" s="3" t="s">
        <v>263</v>
      </c>
      <c r="E20" s="10">
        <f>YEARFRAC(Y20, $E$2, 1)</f>
        <v>20.282659713168186</v>
      </c>
      <c r="F20" s="8">
        <f>IFERROR(LEFT(AK20,FIND("'",AK20)-1)*12+SUBSTITUTE(MID(AK20,FIND("'",AK20)+1,LEN(AK20)),"''",""), "")</f>
        <v>80</v>
      </c>
      <c r="G20" s="8">
        <f>AL20</f>
        <v>229</v>
      </c>
      <c r="H20" s="8" t="str">
        <f>IFERROR(LEFT(AM20,FIND("'",AM20)-1)*12+SUBSTITUTE(MID(AM20,FIND("'",AM20)+1,LEN(AM20)),"''",""), "")</f>
        <v/>
      </c>
      <c r="I20" s="8" t="str">
        <f>IFERROR(LEFT(AN20,FIND("'",AN20)-1)*12+SUBSTITUTE(MID(AN20,FIND("'",AN20)+1,LEN(AN20)),"''",""), "")</f>
        <v/>
      </c>
      <c r="J20" s="8" t="str">
        <f>IFERROR(IF(AND(H20-F20&gt;= 0, H20 &gt; 0), "+", ""),"") &amp; IFERROR(IF(AND(H20-F20&gt;= -5, H20 &gt; 0), H20-F20, ""),"")</f>
        <v/>
      </c>
      <c r="K20" s="10" t="str">
        <f>IF(F20&gt;0, IFERROR((H20-60)/(F20-60),""), "")</f>
        <v/>
      </c>
      <c r="L20" s="3" t="s">
        <v>382</v>
      </c>
      <c r="M20" s="3" t="s">
        <v>383</v>
      </c>
      <c r="N20" s="3" t="s">
        <v>384</v>
      </c>
      <c r="Q20" s="7">
        <v>47</v>
      </c>
      <c r="R20" s="3">
        <f>ROW()-2</f>
        <v>18</v>
      </c>
      <c r="S20" s="8">
        <f>IF(Q20=Q19,S19, MAX(S$2:S19)+1)</f>
        <v>5</v>
      </c>
      <c r="T20" s="8">
        <f>IFERROR(INDEX(actual!A:A,MATCH(A20,actual!B:B,FALSE)), "")</f>
        <v>23</v>
      </c>
      <c r="U20" s="8" t="str">
        <f>IFERROR(INDEX(actual!C:C,MATCH(A20,actual!B:B,FALSE)), "")</f>
        <v>HOU</v>
      </c>
      <c r="V20" s="4" t="str">
        <f>HYPERLINK(IF(D20="", "https://www.basketball-reference.com/international", "https://www.sports-reference.com/cbb") &amp; "/players/" &amp; LOWER(SUBSTITUTE(A20, " ", "-") &amp; "-1.html"))</f>
        <v>https://www.basketball-reference.com/international/players/usman-garuba-1.html</v>
      </c>
      <c r="W20" s="4" t="str">
        <f>HYPERLINK("https://www.nbadraft.net/players/" &amp; LOWER(SUBSTITUTE(A20, " ", "-") &amp; ""))</f>
        <v>https://www.nbadraft.net/players/usman-garuba</v>
      </c>
      <c r="X20" s="18" t="str">
        <f>HYPERLINK("https://www.nba.com/draft/2021/prospects/" &amp; LOWER(SUBSTITUTE(A20, " ", "-") &amp; ""))</f>
        <v>https://www.nba.com/draft/2021/prospects/usman-garuba</v>
      </c>
      <c r="Y20" s="11">
        <v>36959</v>
      </c>
      <c r="Z20" s="14">
        <f>RANK(AA20,AA:AA,1)</f>
        <v>17</v>
      </c>
      <c r="AA20" s="13">
        <f>IFERROR( (3*IF(AB20&gt;0,AB20, 76) + 2*IF(AC20&gt;0,AC20, 18) + 2*IF(AD20&gt;0,AD20, 5) + 2*IF(AE20&gt;0,AE20, 70) + 2*IF(AF20&gt;0,AF20, 7)  + IF(AG20&gt;0,AG20, 51) + IF(AI20&gt;0,AI20, 9) +  IF(AH20&gt;0,AH20, 101) + 0.75*IF(AJ20&gt;0,AJ20, 101)), 99)</f>
        <v>190.5</v>
      </c>
      <c r="AB20" s="14">
        <v>15</v>
      </c>
      <c r="AE20" s="14">
        <v>26</v>
      </c>
      <c r="AF20" s="14">
        <v>5</v>
      </c>
      <c r="AG20" s="14">
        <v>12</v>
      </c>
      <c r="AH20" s="14">
        <v>11</v>
      </c>
      <c r="AI20" s="14">
        <v>4</v>
      </c>
      <c r="AJ20" s="14">
        <v>14</v>
      </c>
      <c r="AK20" s="2" t="str">
        <f>IFERROR(INDEX(measureables!$A:$J,MATCH($A20,measureables!$A:$A,FALSE),7), "")</f>
        <v>6'8</v>
      </c>
      <c r="AL20" s="2">
        <f>IFERROR(INDEX(measureables!$A:$J,MATCH($A20,measureables!$A:$A,FALSE),9), "")</f>
        <v>229</v>
      </c>
      <c r="AM20" s="2">
        <f>IFERROR(INDEX(measureables!$A:$J,MATCH($A20,measureables!$A:$A,FALSE),10), "")</f>
        <v>0</v>
      </c>
      <c r="AN20" s="2">
        <f>IFERROR(INDEX(measureables!$A:$J,MATCH($A20,measureables!$A:$A,FALSE),8), "")</f>
        <v>0</v>
      </c>
      <c r="AO20"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v>
      </c>
    </row>
    <row r="21" spans="1:41" ht="22" customHeight="1" x14ac:dyDescent="0.2">
      <c r="A21" t="s">
        <v>154</v>
      </c>
      <c r="B21" s="16" t="s">
        <v>367</v>
      </c>
      <c r="C21" s="3" t="s">
        <v>269</v>
      </c>
      <c r="D21" s="3" t="s">
        <v>256</v>
      </c>
      <c r="E21" s="10">
        <f>YEARFRAC(Y21, $E$2, 1)</f>
        <v>20.778994524639124</v>
      </c>
      <c r="F21" s="8">
        <f>IFERROR(LEFT(AK21,FIND("'",AK21)-1)*12+SUBSTITUTE(MID(AK21,FIND("'",AK21)+1,LEN(AK21)),"''",""), "")</f>
        <v>74.5</v>
      </c>
      <c r="G21" s="8">
        <f>AL21</f>
        <v>195.2</v>
      </c>
      <c r="H21" s="8">
        <f>IFERROR(LEFT(AM21,FIND("'",AM21)-1)*12+SUBSTITUTE(MID(AM21,FIND("'",AM21)+1,LEN(AM21)),"''",""), "")</f>
        <v>80.75</v>
      </c>
      <c r="I21" s="8">
        <f>IFERROR(LEFT(AN21,FIND("'",AN21)-1)*12+SUBSTITUTE(MID(AN21,FIND("'",AN21)+1,LEN(AN21)),"''",""), "")</f>
        <v>99.5</v>
      </c>
      <c r="J21" s="8" t="str">
        <f>IFERROR(IF(AND(H21-F21&gt;= 0, H21 &gt; 0), "+", ""),"") &amp; IFERROR(IF(AND(H21-F21&gt;= -5, H21 &gt; 0), H21-F21, ""),"")</f>
        <v>+6.25</v>
      </c>
      <c r="K21" s="10">
        <f>IF(F21&gt;0, IFERROR((H21-60)/(F21-60),""), "")</f>
        <v>1.4310344827586208</v>
      </c>
      <c r="M21" s="3" t="s">
        <v>401</v>
      </c>
      <c r="N21" s="3" t="s">
        <v>400</v>
      </c>
      <c r="Q21" s="7">
        <v>47</v>
      </c>
      <c r="R21" s="3">
        <f>ROW()-2</f>
        <v>19</v>
      </c>
      <c r="S21" s="8">
        <f>IF(Q21=Q20,S20, MAX(S$2:S20)+1)</f>
        <v>5</v>
      </c>
      <c r="T21" s="8">
        <f>IFERROR(INDEX(actual!A:A,MATCH(A21,actual!B:B,FALSE)), "")</f>
        <v>36</v>
      </c>
      <c r="U21" s="8" t="str">
        <f>IFERROR(INDEX(actual!C:C,MATCH(A21,actual!B:B,FALSE)), "")</f>
        <v>NYK</v>
      </c>
      <c r="V21" s="4" t="str">
        <f>HYPERLINK(IF(D21="", "https://www.basketball-reference.com/international", "https://www.sports-reference.com/cbb") &amp; "/players/" &amp; LOWER(SUBSTITUTE(A21, " ", "-") &amp; "-1.html"))</f>
        <v>https://www.sports-reference.com/cbb/players/miles-mcbride-1.html</v>
      </c>
      <c r="W21" s="4" t="str">
        <f>HYPERLINK("https://www.nbadraft.net/players/" &amp; LOWER(SUBSTITUTE(A21, " ", "-") &amp; ""))</f>
        <v>https://www.nbadraft.net/players/miles-mcbride</v>
      </c>
      <c r="X21" s="18" t="str">
        <f>HYPERLINK("https://www.nba.com/draft/2021/prospects/" &amp; LOWER(SUBSTITUTE(A21, " ", "-") &amp; ""))</f>
        <v>https://www.nba.com/draft/2021/prospects/miles-mcbride</v>
      </c>
      <c r="Y21" s="11">
        <v>36777</v>
      </c>
      <c r="Z21" s="14">
        <f>RANK(AA21,AA:AA,1)</f>
        <v>22</v>
      </c>
      <c r="AA21" s="13">
        <f>IFERROR( (3*IF(AB21&gt;0,AB21, 76) + 2*IF(AC21&gt;0,AC21, 18) + 2*IF(AD21&gt;0,AD21, 5) + 2*IF(AE21&gt;0,AE21, 70) + 2*IF(AF21&gt;0,AF21, 7)  + IF(AG21&gt;0,AG21, 51) + IF(AI21&gt;0,AI21, 9) +  IF(AH21&gt;0,AH21, 101) + 0.75*IF(AJ21&gt;0,AJ21, 101)), 99)</f>
        <v>236</v>
      </c>
      <c r="AB21" s="14">
        <v>17</v>
      </c>
      <c r="AE21" s="14">
        <v>24</v>
      </c>
      <c r="AF21" s="14">
        <v>5</v>
      </c>
      <c r="AG21" s="14">
        <v>31</v>
      </c>
      <c r="AH21" s="14">
        <v>22</v>
      </c>
      <c r="AI21" s="14">
        <v>4</v>
      </c>
      <c r="AJ21" s="14">
        <v>32</v>
      </c>
      <c r="AK21" s="2" t="str">
        <f>IFERROR(INDEX(measureables!$A:$J,MATCH($A21,measureables!$A:$A,FALSE),7), "")</f>
        <v>6'2.5''</v>
      </c>
      <c r="AL21" s="2">
        <f>IFERROR(INDEX(measureables!$A:$J,MATCH($A21,measureables!$A:$A,FALSE),9), "")</f>
        <v>195.2</v>
      </c>
      <c r="AM21" s="2" t="str">
        <f>IFERROR(INDEX(measureables!$A:$J,MATCH($A21,measureables!$A:$A,FALSE),10), "")</f>
        <v>6'8.75''</v>
      </c>
      <c r="AN21" s="2" t="str">
        <f>IFERROR(INDEX(measureables!$A:$J,MATCH($A21,measureables!$A:$A,FALSE),8), "")</f>
        <v>8'3.5''</v>
      </c>
      <c r="AO21"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v>
      </c>
    </row>
    <row r="22" spans="1:41" ht="22" customHeight="1" x14ac:dyDescent="0.2">
      <c r="A22" t="s">
        <v>130</v>
      </c>
      <c r="B22" s="16" t="s">
        <v>325</v>
      </c>
      <c r="C22" s="3" t="s">
        <v>252</v>
      </c>
      <c r="D22" s="3" t="s">
        <v>265</v>
      </c>
      <c r="E22" s="10">
        <f>YEARFRAC(Y22, $E$2, 1)</f>
        <v>22.299131055826688</v>
      </c>
      <c r="F22" s="8">
        <f>IFERROR(LEFT(AK22,FIND("'",AK22)-1)*12+SUBSTITUTE(MID(AK22,FIND("'",AK22)+1,LEN(AK22)),"''",""), "")</f>
        <v>79.25</v>
      </c>
      <c r="G22" s="8">
        <f>AL22</f>
        <v>223.8</v>
      </c>
      <c r="H22" s="8">
        <f>IFERROR(LEFT(AM22,FIND("'",AM22)-1)*12+SUBSTITUTE(MID(AM22,FIND("'",AM22)+1,LEN(AM22)),"''",""), "")</f>
        <v>79</v>
      </c>
      <c r="I22" s="8">
        <f>IFERROR(LEFT(AN22,FIND("'",AN22)-1)*12+SUBSTITUTE(MID(AN22,FIND("'",AN22)+1,LEN(AN22)),"''",""), "")</f>
        <v>102</v>
      </c>
      <c r="J22" s="8" t="str">
        <f>IFERROR(IF(AND(H22-F22&gt;= 0, H22 &gt; 0), "+", ""),"") &amp; IFERROR(IF(AND(H22-F22&gt;= -5, H22 &gt; 0), H22-F22, ""),"")</f>
        <v>-0.25</v>
      </c>
      <c r="K22" s="10">
        <f>IF(F22&gt;0, IFERROR((H22-60)/(F22-60),""), "")</f>
        <v>0.98701298701298701</v>
      </c>
      <c r="L22" s="3" t="s">
        <v>322</v>
      </c>
      <c r="M22" s="3" t="s">
        <v>387</v>
      </c>
      <c r="N22" s="3" t="s">
        <v>386</v>
      </c>
      <c r="Q22" s="7">
        <v>47</v>
      </c>
      <c r="R22" s="3">
        <f>ROW()-2</f>
        <v>20</v>
      </c>
      <c r="S22" s="8">
        <f>IF(Q22=Q21,S21, MAX(S$2:S21)+1)</f>
        <v>5</v>
      </c>
      <c r="T22" s="8">
        <f>IFERROR(INDEX(actual!A:A,MATCH(A22,actual!B:B,FALSE)), "")</f>
        <v>15</v>
      </c>
      <c r="U22" s="8" t="str">
        <f>IFERROR(INDEX(actual!C:C,MATCH(A22,actual!B:B,FALSE)), "")</f>
        <v>WAS</v>
      </c>
      <c r="V22" s="4" t="str">
        <f>HYPERLINK(IF(D22="", "https://www.basketball-reference.com/international", "https://www.sports-reference.com/cbb") &amp; "/players/" &amp; LOWER(SUBSTITUTE(A22, " ", "-") &amp; "-1.html"))</f>
        <v>https://www.sports-reference.com/cbb/players/corey-kispert-1.html</v>
      </c>
      <c r="W22" s="4" t="str">
        <f>HYPERLINK("https://www.nbadraft.net/players/" &amp; LOWER(SUBSTITUTE(A22, " ", "-") &amp; ""))</f>
        <v>https://www.nbadraft.net/players/corey-kispert</v>
      </c>
      <c r="X22" s="18" t="str">
        <f>HYPERLINK("https://www.nba.com/draft/2021/prospects/" &amp; LOWER(SUBSTITUTE(A22, " ", "-") &amp; ""))</f>
        <v>https://www.nba.com/draft/2021/prospects/corey-kispert</v>
      </c>
      <c r="Y22" s="11">
        <v>36222</v>
      </c>
      <c r="Z22" s="14">
        <f>RANK(AA22,AA:AA,1)</f>
        <v>18</v>
      </c>
      <c r="AA22" s="13">
        <f>IFERROR( (3*IF(AB22&gt;0,AB22, 76) + 2*IF(AC22&gt;0,AC22, 18) + 2*IF(AD22&gt;0,AD22, 5) + 2*IF(AE22&gt;0,AE22, 70) + 2*IF(AF22&gt;0,AF22, 7)  + IF(AG22&gt;0,AG22, 51) + IF(AI22&gt;0,AI22, 9) +  IF(AH22&gt;0,AH22, 101) + 0.75*IF(AJ22&gt;0,AJ22, 101)), 99)</f>
        <v>204.75</v>
      </c>
      <c r="AB22" s="14">
        <v>12</v>
      </c>
      <c r="AE22" s="14">
        <v>32</v>
      </c>
      <c r="AF22" s="14">
        <v>5</v>
      </c>
      <c r="AG22" s="14">
        <v>17</v>
      </c>
      <c r="AH22" s="14">
        <v>18</v>
      </c>
      <c r="AI22" s="14">
        <v>4</v>
      </c>
      <c r="AJ22" s="14">
        <v>13</v>
      </c>
      <c r="AK22" s="2" t="str">
        <f>IFERROR(INDEX(measureables!$A:$J,MATCH($A22,measureables!$A:$A,FALSE),7), "")</f>
        <v>6'7.25''</v>
      </c>
      <c r="AL22" s="2">
        <f>IFERROR(INDEX(measureables!$A:$J,MATCH($A22,measureables!$A:$A,FALSE),9), "")</f>
        <v>223.8</v>
      </c>
      <c r="AM22" s="2" t="str">
        <f>IFERROR(INDEX(measureables!$A:$J,MATCH($A22,measureables!$A:$A,FALSE),10), "")</f>
        <v>6'7.0''</v>
      </c>
      <c r="AN22" s="2" t="str">
        <f>IFERROR(INDEX(measureables!$A:$J,MATCH($A22,measureables!$A:$A,FALSE),8), "")</f>
        <v>8'6.0''</v>
      </c>
      <c r="AO22"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v>
      </c>
    </row>
    <row r="23" spans="1:41" ht="22" customHeight="1" x14ac:dyDescent="0.2">
      <c r="A23" t="s">
        <v>141</v>
      </c>
      <c r="B23" s="16" t="s">
        <v>355</v>
      </c>
      <c r="C23" s="3" t="s">
        <v>279</v>
      </c>
      <c r="D23" s="3" t="s">
        <v>19</v>
      </c>
      <c r="E23" s="10">
        <f>YEARFRAC(Y23, $E$2, 1)</f>
        <v>18.488706365503081</v>
      </c>
      <c r="F23" s="8">
        <f>IFERROR(LEFT(AK23,FIND("'",AK23)-1)*12+SUBSTITUTE(MID(AK23,FIND("'",AK23)+1,LEN(AK23)),"''",""), "")</f>
        <v>77</v>
      </c>
      <c r="G23" s="8">
        <f>AL23</f>
        <v>189</v>
      </c>
      <c r="H23" s="8">
        <f>IFERROR(LEFT(AM23,FIND("'",AM23)-1)*12+SUBSTITUTE(MID(AM23,FIND("'",AM23)+1,LEN(AM23)),"''",""), "")</f>
        <v>81.25</v>
      </c>
      <c r="I23" s="8">
        <f>IFERROR(LEFT(AN23,FIND("'",AN23)-1)*12+SUBSTITUTE(MID(AN23,FIND("'",AN23)+1,LEN(AN23)),"''",""), "")</f>
        <v>102.5</v>
      </c>
      <c r="J23" s="8" t="str">
        <f>IFERROR(IF(AND(H23-F23&gt;= 0, H23 &gt; 0), "+", ""),"") &amp; IFERROR(IF(AND(H23-F23&gt;= -5, H23 &gt; 0), H23-F23, ""),"")</f>
        <v>+4.25</v>
      </c>
      <c r="K23" s="10">
        <f>IF(F23&gt;0, IFERROR((H23-60)/(F23-60),""), "")</f>
        <v>1.25</v>
      </c>
      <c r="L23" s="3" t="s">
        <v>319</v>
      </c>
      <c r="M23" s="3" t="s">
        <v>431</v>
      </c>
      <c r="N23" s="3" t="s">
        <v>432</v>
      </c>
      <c r="Q23" s="7">
        <v>45</v>
      </c>
      <c r="R23" s="3">
        <f>ROW()-2</f>
        <v>21</v>
      </c>
      <c r="S23" s="8">
        <f>IF(Q23=Q22,S22, MAX(S$2:S22)+1)</f>
        <v>6</v>
      </c>
      <c r="T23" s="8">
        <f>IFERROR(INDEX(actual!A:A,MATCH(A23,actual!B:B,FALSE)), "")</f>
        <v>12</v>
      </c>
      <c r="U23" s="8" t="str">
        <f>IFERROR(INDEX(actual!C:C,MATCH(A23,actual!B:B,FALSE)), "")</f>
        <v>SAS</v>
      </c>
      <c r="V23" s="4" t="str">
        <f>HYPERLINK(IF(D23="", "https://www.basketball-reference.com/international", "https://www.sports-reference.com/cbb") &amp; "/players/" &amp; LOWER(SUBSTITUTE(A23, " ", "-") &amp; "-1.html"))</f>
        <v>https://www.sports-reference.com/cbb/players/joshua-primo-1.html</v>
      </c>
      <c r="W23" s="4" t="str">
        <f>HYPERLINK("https://www.nbadraft.net/players/" &amp; LOWER(SUBSTITUTE(A23, " ", "-") &amp; ""))</f>
        <v>https://www.nbadraft.net/players/joshua-primo</v>
      </c>
      <c r="X23" s="18" t="str">
        <f>HYPERLINK("https://www.nba.com/draft/2021/prospects/" &amp; LOWER(SUBSTITUTE(A23, " ", "-") &amp; ""))</f>
        <v>https://www.nba.com/draft/2021/prospects/joshua-primo</v>
      </c>
      <c r="Y23" s="11">
        <v>37614</v>
      </c>
      <c r="Z23" s="14">
        <f>RANK(AA23,AA:AA,1)</f>
        <v>35</v>
      </c>
      <c r="AA23" s="13">
        <f>IFERROR( (3*IF(AB23&gt;0,AB23, 76) + 2*IF(AC23&gt;0,AC23, 18) + 2*IF(AD23&gt;0,AD23, 5) + 2*IF(AE23&gt;0,AE23, 70) + 2*IF(AF23&gt;0,AF23, 7)  + IF(AG23&gt;0,AG23, 51) + IF(AI23&gt;0,AI23, 9) +  IF(AH23&gt;0,AH23, 101) + 0.75*IF(AJ23&gt;0,AJ23, 101)), 99)</f>
        <v>343.75</v>
      </c>
      <c r="AB23" s="14">
        <v>42</v>
      </c>
      <c r="AE23" s="14">
        <v>41</v>
      </c>
      <c r="AF23" s="14">
        <v>5</v>
      </c>
      <c r="AG23" s="14">
        <v>22</v>
      </c>
      <c r="AH23" s="14">
        <v>34</v>
      </c>
      <c r="AI23" s="14">
        <v>5</v>
      </c>
      <c r="AJ23" s="14">
        <v>25</v>
      </c>
      <c r="AK23" s="2" t="str">
        <f>IFERROR(INDEX(measureables!$A:$J,MATCH($A23,measureables!$A:$A,FALSE),7), "")</f>
        <v>6'5.0''</v>
      </c>
      <c r="AL23" s="2">
        <f>IFERROR(INDEX(measureables!$A:$J,MATCH($A23,measureables!$A:$A,FALSE),9), "")</f>
        <v>189</v>
      </c>
      <c r="AM23" s="2" t="str">
        <f>IFERROR(INDEX(measureables!$A:$J,MATCH($A23,measureables!$A:$A,FALSE),10), "")</f>
        <v>6'9.25''</v>
      </c>
      <c r="AN23" s="2" t="str">
        <f>IFERROR(INDEX(measureables!$A:$J,MATCH($A23,measureables!$A:$A,FALSE),8), "")</f>
        <v>8'6.5''</v>
      </c>
      <c r="AO23"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v>
      </c>
    </row>
    <row r="24" spans="1:41" ht="22" customHeight="1" x14ac:dyDescent="0.2">
      <c r="A24" t="s">
        <v>150</v>
      </c>
      <c r="B24" s="16" t="s">
        <v>13</v>
      </c>
      <c r="C24" s="3" t="s">
        <v>266</v>
      </c>
      <c r="D24" s="3" t="s">
        <v>19</v>
      </c>
      <c r="E24" s="10">
        <f>YEARFRAC(Y24, $E$2, 1)</f>
        <v>18.817248459958932</v>
      </c>
      <c r="F24" s="8">
        <f>IFERROR(LEFT(AK24,FIND("'",AK24)-1)*12+SUBSTITUTE(MID(AK24,FIND("'",AK24)+1,LEN(AK24)),"''",""), "")</f>
        <v>81.25</v>
      </c>
      <c r="G24" s="8">
        <f>AL24</f>
        <v>203</v>
      </c>
      <c r="H24" s="8">
        <f>IFERROR(LEFT(AM24,FIND("'",AM24)-1)*12+SUBSTITUTE(MID(AM24,FIND("'",AM24)+1,LEN(AM24)),"''",""), "")</f>
        <v>87.25</v>
      </c>
      <c r="I24" s="8">
        <f>IFERROR(LEFT(AN24,FIND("'",AN24)-1)*12+SUBSTITUTE(MID(AN24,FIND("'",AN24)+1,LEN(AN24)),"''",""), "")</f>
        <v>110</v>
      </c>
      <c r="J24" s="8" t="str">
        <f>IFERROR(IF(AND(H24-F24&gt;= 0, H24 &gt; 0), "+", ""),"") &amp; IFERROR(IF(AND(H24-F24&gt;= -5, H24 &gt; 0), H24-F24, ""),"")</f>
        <v>+6</v>
      </c>
      <c r="K24" s="10">
        <f>IF(F24&gt;0, IFERROR((H24-60)/(F24-60),""), "")</f>
        <v>1.2823529411764707</v>
      </c>
      <c r="L24" s="3" t="s">
        <v>319</v>
      </c>
      <c r="M24" s="3" t="s">
        <v>416</v>
      </c>
      <c r="N24" s="3" t="s">
        <v>417</v>
      </c>
      <c r="Q24" s="7">
        <v>45</v>
      </c>
      <c r="R24" s="3">
        <f>ROW()-2</f>
        <v>22</v>
      </c>
      <c r="S24" s="8">
        <f>IF(Q24=Q23,S23, MAX(S$2:S23)+1)</f>
        <v>6</v>
      </c>
      <c r="T24" s="8">
        <f>IFERROR(INDEX(actual!A:A,MATCH(A24,actual!B:B,FALSE)), "")</f>
        <v>37</v>
      </c>
      <c r="U24" s="8" t="str">
        <f>IFERROR(INDEX(actual!C:C,MATCH(A24,actual!B:B,FALSE)), "")</f>
        <v>CHA</v>
      </c>
      <c r="V24" s="4" t="str">
        <f>HYPERLINK(IF(D24="", "https://www.basketball-reference.com/international", "https://www.sports-reference.com/cbb") &amp; "/players/" &amp; LOWER(SUBSTITUTE(A24, " ", "-") &amp; "-1.html"))</f>
        <v>https://www.sports-reference.com/cbb/players/jt-thor-1.html</v>
      </c>
      <c r="W24" s="4" t="str">
        <f>HYPERLINK("https://www.nbadraft.net/players/" &amp; LOWER(SUBSTITUTE(A24, " ", "-") &amp; ""))</f>
        <v>https://www.nbadraft.net/players/jt-thor</v>
      </c>
      <c r="X24" s="18" t="str">
        <f>HYPERLINK("https://www.nba.com/draft/2021/prospects/" &amp; LOWER(SUBSTITUTE(A24, " ", "-") &amp; ""))</f>
        <v>https://www.nba.com/draft/2021/prospects/jt-thor</v>
      </c>
      <c r="Y24" s="11">
        <v>37494</v>
      </c>
      <c r="Z24" s="14">
        <f>RANK(AA24,AA:AA,1)</f>
        <v>28</v>
      </c>
      <c r="AA24" s="13">
        <f>IFERROR( (3*IF(AB24&gt;0,AB24, 76) + 2*IF(AC24&gt;0,AC24, 18) + 2*IF(AD24&gt;0,AD24, 5) + 2*IF(AE24&gt;0,AE24, 70) + 2*IF(AF24&gt;0,AF24, 7)  + IF(AG24&gt;0,AG24, 51) + IF(AI24&gt;0,AI24, 9) +  IF(AH24&gt;0,AH24, 101) + 0.75*IF(AJ24&gt;0,AJ24, 101)), 99)</f>
        <v>289</v>
      </c>
      <c r="AB24" s="14">
        <v>31</v>
      </c>
      <c r="AE24" s="14">
        <v>21</v>
      </c>
      <c r="AF24" s="14">
        <v>5</v>
      </c>
      <c r="AG24" s="14">
        <v>29</v>
      </c>
      <c r="AH24" s="14">
        <v>43</v>
      </c>
      <c r="AI24" s="14">
        <v>5</v>
      </c>
      <c r="AJ24" s="14">
        <v>28</v>
      </c>
      <c r="AK24" s="2" t="str">
        <f>IFERROR(INDEX(measureables!$A:$J,MATCH($A24,measureables!$A:$A,FALSE),7), "")</f>
        <v>6'9.25''</v>
      </c>
      <c r="AL24" s="2">
        <f>IFERROR(INDEX(measureables!$A:$J,MATCH($A24,measureables!$A:$A,FALSE),9), "")</f>
        <v>203</v>
      </c>
      <c r="AM24" s="2" t="str">
        <f>IFERROR(INDEX(measureables!$A:$J,MATCH($A24,measureables!$A:$A,FALSE),10), "")</f>
        <v>7'3.25''</v>
      </c>
      <c r="AN24" s="2" t="str">
        <f>IFERROR(INDEX(measureables!$A:$J,MATCH($A24,measureables!$A:$A,FALSE),8), "")</f>
        <v>9'2.0''</v>
      </c>
      <c r="AO24"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v>
      </c>
    </row>
    <row r="25" spans="1:41" ht="22" customHeight="1" x14ac:dyDescent="0.2">
      <c r="A25" t="s">
        <v>211</v>
      </c>
      <c r="B25" s="16" t="s">
        <v>12</v>
      </c>
      <c r="C25" s="3" t="s">
        <v>267</v>
      </c>
      <c r="D25" s="3" t="s">
        <v>19</v>
      </c>
      <c r="E25" s="10">
        <f>YEARFRAC(Y25, $E$2, 1)</f>
        <v>19.441478439425051</v>
      </c>
      <c r="F25" s="8">
        <f>IFERROR(LEFT(AK25,FIND("'",AK25)-1)*12+SUBSTITUTE(MID(AK25,FIND("'",AK25)+1,LEN(AK25)),"''",""), "")</f>
        <v>82</v>
      </c>
      <c r="G25" s="8">
        <f>AL25</f>
        <v>205</v>
      </c>
      <c r="H25" s="8" t="str">
        <f>IFERROR(LEFT(AM25,FIND("'",AM25)-1)*12+SUBSTITUTE(MID(AM25,FIND("'",AM25)+1,LEN(AM25)),"''",""), "")</f>
        <v/>
      </c>
      <c r="I25" s="8" t="str">
        <f>IFERROR(LEFT(AN25,FIND("'",AN25)-1)*12+SUBSTITUTE(MID(AN25,FIND("'",AN25)+1,LEN(AN25)),"''",""), "")</f>
        <v/>
      </c>
      <c r="J25" s="8" t="str">
        <f>IFERROR(IF(AND(H25-F25&gt;= 0, H25 &gt; 0), "+", ""),"") &amp; IFERROR(IF(AND(H25-F25&gt;= -5, H25 &gt; 0), H25-F25, ""),"")</f>
        <v/>
      </c>
      <c r="K25" s="10" t="str">
        <f>IF(F25&gt;0, IFERROR((H25-60)/(F25-60),""), "")</f>
        <v/>
      </c>
      <c r="L25" s="3" t="s">
        <v>392</v>
      </c>
      <c r="M25" s="3" t="s">
        <v>394</v>
      </c>
      <c r="N25" s="3" t="s">
        <v>377</v>
      </c>
      <c r="O25" s="3" t="s">
        <v>393</v>
      </c>
      <c r="Q25" s="7">
        <v>45</v>
      </c>
      <c r="R25" s="3">
        <f>ROW()-2</f>
        <v>23</v>
      </c>
      <c r="S25" s="8">
        <f>IF(Q25=Q24,S24, MAX(S$2:S24)+1)</f>
        <v>6</v>
      </c>
      <c r="T25" s="8">
        <f>IFERROR(INDEX(actual!A:A,MATCH(A25,actual!B:B,FALSE)), "")</f>
        <v>22</v>
      </c>
      <c r="U25" s="8" t="str">
        <f>IFERROR(INDEX(actual!C:C,MATCH(A25,actual!B:B,FALSE)), "")</f>
        <v>IND</v>
      </c>
      <c r="V25" s="17" t="s">
        <v>391</v>
      </c>
      <c r="W25" s="4" t="str">
        <f>HYPERLINK("https://www.nbadraft.net/players/" &amp; LOWER(SUBSTITUTE(A25, " ", "-") &amp; ""))</f>
        <v>https://www.nbadraft.net/players/isaiah-jackson</v>
      </c>
      <c r="X25" s="18" t="str">
        <f>HYPERLINK("https://www.nba.com/draft/2021/prospects/" &amp; LOWER(SUBSTITUTE(A25, " ", "-") &amp; ""))</f>
        <v>https://www.nba.com/draft/2021/prospects/isaiah-jackson</v>
      </c>
      <c r="Y25" s="11">
        <v>37266</v>
      </c>
      <c r="Z25" s="14">
        <f>RANK(AA25,AA:AA,1)</f>
        <v>20</v>
      </c>
      <c r="AA25" s="13">
        <f>IFERROR( (3*IF(AB25&gt;0,AB25, 76) + 2*IF(AC25&gt;0,AC25, 18) + 2*IF(AD25&gt;0,AD25, 5) + 2*IF(AE25&gt;0,AE25, 70) + 2*IF(AF25&gt;0,AF25, 7)  + IF(AG25&gt;0,AG25, 51) + IF(AI25&gt;0,AI25, 9) +  IF(AH25&gt;0,AH25, 101) + 0.75*IF(AJ25&gt;0,AJ25, 101)), 99)</f>
        <v>227.25</v>
      </c>
      <c r="AB25" s="14">
        <v>28</v>
      </c>
      <c r="AC25" s="14">
        <v>11</v>
      </c>
      <c r="AD25" s="14">
        <v>3</v>
      </c>
      <c r="AE25" s="14">
        <v>17</v>
      </c>
      <c r="AF25" s="14">
        <v>4</v>
      </c>
      <c r="AG25" s="14">
        <v>28</v>
      </c>
      <c r="AH25" s="14">
        <v>26</v>
      </c>
      <c r="AI25" s="14">
        <v>5</v>
      </c>
      <c r="AJ25" s="14">
        <v>19</v>
      </c>
      <c r="AK25" s="2" t="str">
        <f>IFERROR(INDEX(measureables!$A:$J,MATCH($A25,measureables!$A:$A,FALSE),7), "")</f>
        <v>6'10</v>
      </c>
      <c r="AL25" s="2">
        <f>IFERROR(INDEX(measureables!$A:$J,MATCH($A25,measureables!$A:$A,FALSE),9), "")</f>
        <v>205</v>
      </c>
      <c r="AM25" s="2">
        <f>IFERROR(INDEX(measureables!$A:$J,MATCH($A25,measureables!$A:$A,FALSE),10), "")</f>
        <v>0</v>
      </c>
      <c r="AN25" s="2">
        <f>IFERROR(INDEX(measureables!$A:$J,MATCH($A25,measureables!$A:$A,FALSE),8), "")</f>
        <v>0</v>
      </c>
      <c r="AO25"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v>
      </c>
    </row>
    <row r="26" spans="1:41" ht="22" customHeight="1" x14ac:dyDescent="0.2">
      <c r="A26" t="s">
        <v>163</v>
      </c>
      <c r="B26" s="16" t="s">
        <v>16</v>
      </c>
      <c r="C26" s="3" t="s">
        <v>273</v>
      </c>
      <c r="D26" s="3" t="s">
        <v>19</v>
      </c>
      <c r="E26" s="10">
        <f>YEARFRAC(Y26, $E$2, 1)</f>
        <v>19.532464146023468</v>
      </c>
      <c r="F26" s="8">
        <f>IFERROR(LEFT(AK26,FIND("'",AK26)-1)*12+SUBSTITUTE(MID(AK26,FIND("'",AK26)+1,LEN(AK26)),"''",""), "")</f>
        <v>76.5</v>
      </c>
      <c r="G26" s="8">
        <f>AL26</f>
        <v>214.8</v>
      </c>
      <c r="H26" s="8">
        <f>IFERROR(LEFT(AM26,FIND("'",AM26)-1)*12+SUBSTITUTE(MID(AM26,FIND("'",AM26)+1,LEN(AM26)),"''",""), "")</f>
        <v>81.25</v>
      </c>
      <c r="I26" s="8">
        <f>IFERROR(LEFT(AN26,FIND("'",AN26)-1)*12+SUBSTITUTE(MID(AN26,FIND("'",AN26)+1,LEN(AN26)),"''",""), "")</f>
        <v>101</v>
      </c>
      <c r="J26" s="8" t="str">
        <f>IFERROR(IF(AND(H26-F26&gt;= 0, H26 &gt; 0), "+", ""),"") &amp; IFERROR(IF(AND(H26-F26&gt;= -5, H26 &gt; 0), H26-F26, ""),"")</f>
        <v>+4.75</v>
      </c>
      <c r="K26" s="10">
        <f>IF(F26&gt;0, IFERROR((H26-60)/(F26-60),""), "")</f>
        <v>1.2878787878787878</v>
      </c>
      <c r="M26" s="3" t="s">
        <v>410</v>
      </c>
      <c r="N26" s="3" t="s">
        <v>411</v>
      </c>
      <c r="Q26" s="7">
        <v>45</v>
      </c>
      <c r="R26" s="3">
        <f>ROW()-2</f>
        <v>24</v>
      </c>
      <c r="S26" s="8">
        <f>IF(Q26=Q25,S25, MAX(S$2:S25)+1)</f>
        <v>6</v>
      </c>
      <c r="T26" s="8">
        <f>IFERROR(INDEX(actual!A:A,MATCH(A26,actual!B:B,FALSE)), "")</f>
        <v>24</v>
      </c>
      <c r="U26" s="8" t="str">
        <f>IFERROR(INDEX(actual!C:C,MATCH(A26,actual!B:B,FALSE)), "")</f>
        <v>HOU</v>
      </c>
      <c r="V26" s="4" t="str">
        <f>HYPERLINK(IF(D26="", "https://www.basketball-reference.com/international", "https://www.sports-reference.com/cbb") &amp; "/players/" &amp; LOWER(SUBSTITUTE(A26, " ", "-") &amp; "-1.html"))</f>
        <v>https://www.sports-reference.com/cbb/players/josh-christopher-1.html</v>
      </c>
      <c r="W26" s="4" t="str">
        <f>HYPERLINK("https://www.nbadraft.net/players/" &amp; LOWER(SUBSTITUTE(A26, " ", "-") &amp; ""))</f>
        <v>https://www.nbadraft.net/players/josh-christopher</v>
      </c>
      <c r="X26" s="18" t="str">
        <f>HYPERLINK("https://www.nba.com/draft/2021/prospects/" &amp; LOWER(SUBSTITUTE(A26, " ", "-") &amp; ""))</f>
        <v>https://www.nba.com/draft/2021/prospects/josh-christopher</v>
      </c>
      <c r="Y26" s="11">
        <v>37233</v>
      </c>
      <c r="Z26" s="14">
        <f>RANK(AA26,AA:AA,1)</f>
        <v>25</v>
      </c>
      <c r="AA26" s="13">
        <f>IFERROR( (3*IF(AB26&gt;0,AB26, 76) + 2*IF(AC26&gt;0,AC26, 18) + 2*IF(AD26&gt;0,AD26, 5) + 2*IF(AE26&gt;0,AE26, 70) + 2*IF(AF26&gt;0,AF26, 7)  + IF(AG26&gt;0,AG26, 51) + IF(AI26&gt;0,AI26, 9) +  IF(AH26&gt;0,AH26, 101) + 0.75*IF(AJ26&gt;0,AJ26, 101)), 99)</f>
        <v>265.75</v>
      </c>
      <c r="AB26" s="14">
        <v>26</v>
      </c>
      <c r="AE26" s="14">
        <v>15</v>
      </c>
      <c r="AF26" s="14">
        <v>4</v>
      </c>
      <c r="AG26" s="14">
        <v>32</v>
      </c>
      <c r="AH26" s="14">
        <v>42</v>
      </c>
      <c r="AI26" s="14">
        <v>5</v>
      </c>
      <c r="AJ26" s="14">
        <v>33</v>
      </c>
      <c r="AK26" s="2" t="str">
        <f>IFERROR(INDEX(measureables!$A:$J,MATCH($A26,measureables!$A:$A,FALSE),7), "")</f>
        <v>6'4.5''</v>
      </c>
      <c r="AL26" s="2">
        <f>IFERROR(INDEX(measureables!$A:$J,MATCH($A26,measureables!$A:$A,FALSE),9), "")</f>
        <v>214.8</v>
      </c>
      <c r="AM26" s="2" t="str">
        <f>IFERROR(INDEX(measureables!$A:$J,MATCH($A26,measureables!$A:$A,FALSE),10), "")</f>
        <v>6'9.25''</v>
      </c>
      <c r="AN26" s="2" t="str">
        <f>IFERROR(INDEX(measureables!$A:$J,MATCH($A26,measureables!$A:$A,FALSE),8), "")</f>
        <v>8'5.0''</v>
      </c>
      <c r="AO26"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v>
      </c>
    </row>
    <row r="27" spans="1:41" ht="22" customHeight="1" x14ac:dyDescent="0.2">
      <c r="A27" t="s">
        <v>402</v>
      </c>
      <c r="B27" s="16" t="s">
        <v>367</v>
      </c>
      <c r="C27" s="3" t="s">
        <v>270</v>
      </c>
      <c r="D27" s="3" t="s">
        <v>19</v>
      </c>
      <c r="E27" s="10">
        <f>YEARFRAC(Y27, $E$2, 1)</f>
        <v>19.685788787483702</v>
      </c>
      <c r="F27" s="8">
        <f>IFERROR(LEFT(AK27,FIND("'",AK27)-1)*12+SUBSTITUTE(MID(AK27,FIND("'",AK27)+1,LEN(AK27)),"''",""), "")</f>
        <v>76</v>
      </c>
      <c r="G27" s="8">
        <f>AL27</f>
        <v>210</v>
      </c>
      <c r="H27" s="8" t="str">
        <f>IFERROR(LEFT(AM27,FIND("'",AM27)-1)*12+SUBSTITUTE(MID(AM27,FIND("'",AM27)+1,LEN(AM27)),"''",""), "")</f>
        <v/>
      </c>
      <c r="I27" s="8" t="str">
        <f>IFERROR(LEFT(AN27,FIND("'",AN27)-1)*12+SUBSTITUTE(MID(AN27,FIND("'",AN27)+1,LEN(AN27)),"''",""), "")</f>
        <v/>
      </c>
      <c r="J27" s="8" t="str">
        <f>IFERROR(IF(AND(H27-F27&gt;= 0, H27 &gt; 0), "+", ""),"") &amp; IFERROR(IF(AND(H27-F27&gt;= -5, H27 &gt; 0), H27-F27, ""),"")</f>
        <v/>
      </c>
      <c r="K27" s="10" t="str">
        <f>IF(F27&gt;0, IFERROR((H27-60)/(F27-60),""), "")</f>
        <v/>
      </c>
      <c r="M27" s="3" t="s">
        <v>404</v>
      </c>
      <c r="N27" s="3" t="s">
        <v>319</v>
      </c>
      <c r="O27" s="3" t="s">
        <v>403</v>
      </c>
      <c r="Q27" s="7">
        <v>45</v>
      </c>
      <c r="R27" s="3">
        <f>ROW()-2</f>
        <v>25</v>
      </c>
      <c r="S27" s="8">
        <f>IF(Q27=Q26,S26, MAX(S$2:S26)+1)</f>
        <v>6</v>
      </c>
      <c r="T27" s="8">
        <f>IFERROR(INDEX(actual!A:A,MATCH(A27,actual!B:B,FALSE)), "")</f>
        <v>27</v>
      </c>
      <c r="U27" s="8" t="str">
        <f>IFERROR(INDEX(actual!C:C,MATCH(A27,actual!B:B,FALSE)), "")</f>
        <v>BRK</v>
      </c>
      <c r="V27" s="4" t="str">
        <f>HYPERLINK(IF(D27="", "https://www.basketball-reference.com/international", "https://www.sports-reference.com/cbb") &amp; "/players/" &amp; LOWER(SUBSTITUTE(A27, " ", "-") &amp; "-1.html"))</f>
        <v>https://www.sports-reference.com/cbb/players/cameron-thomas-1.html</v>
      </c>
      <c r="W27" s="4" t="str">
        <f>HYPERLINK("https://www.nbadraft.net/players/" &amp; LOWER(SUBSTITUTE(A27, " ", "-") &amp; ""))</f>
        <v>https://www.nbadraft.net/players/cameron-thomas</v>
      </c>
      <c r="X27" s="18" t="str">
        <f>HYPERLINK("https://www.nba.com/draft/2021/prospects/" &amp; LOWER(SUBSTITUTE(A27, " ", "-") &amp; ""))</f>
        <v>https://www.nba.com/draft/2021/prospects/cameron-thomas</v>
      </c>
      <c r="Y27" s="11">
        <v>37177</v>
      </c>
      <c r="Z27" s="14">
        <f>RANK(AA27,AA:AA,1)</f>
        <v>23</v>
      </c>
      <c r="AA27" s="13">
        <f>IFERROR( (3*IF(AB27&gt;0,AB27, 76) + 2*IF(AC27&gt;0,AC27, 18) + 2*IF(AD27&gt;0,AD27, 5) + 2*IF(AE27&gt;0,AE27, 70) + 2*IF(AF27&gt;0,AF27, 7)  + IF(AG27&gt;0,AG27, 51) + IF(AI27&gt;0,AI27, 9) +  IF(AH27&gt;0,AH27, 101) + 0.75*IF(AJ27&gt;0,AJ27, 101)), 99)</f>
        <v>252.5</v>
      </c>
      <c r="AB27" s="14">
        <v>33</v>
      </c>
      <c r="AE27" s="14">
        <v>19</v>
      </c>
      <c r="AF27" s="14">
        <v>4</v>
      </c>
      <c r="AG27" s="14">
        <v>10</v>
      </c>
      <c r="AH27" s="14">
        <v>27</v>
      </c>
      <c r="AI27" s="14">
        <v>5</v>
      </c>
      <c r="AJ27" s="14">
        <v>26</v>
      </c>
      <c r="AK27" s="2" t="str">
        <f>IFERROR(INDEX(measureables!$A:$J,MATCH($A27,measureables!$A:$A,FALSE),7), "")</f>
        <v>6'4</v>
      </c>
      <c r="AL27" s="2">
        <f>IFERROR(INDEX(measureables!$A:$J,MATCH($A27,measureables!$A:$A,FALSE),9), "")</f>
        <v>210</v>
      </c>
      <c r="AM27" s="2">
        <f>IFERROR(INDEX(measureables!$A:$J,MATCH($A27,measureables!$A:$A,FALSE),10), "")</f>
        <v>0</v>
      </c>
      <c r="AN27" s="2">
        <f>IFERROR(INDEX(measureables!$A:$J,MATCH($A27,measureables!$A:$A,FALSE),8), "")</f>
        <v>0</v>
      </c>
      <c r="AO27"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v>
      </c>
    </row>
    <row r="28" spans="1:41" ht="22" customHeight="1" x14ac:dyDescent="0.2">
      <c r="A28" t="s">
        <v>208</v>
      </c>
      <c r="B28" s="16" t="s">
        <v>15</v>
      </c>
      <c r="C28" s="3" t="s">
        <v>266</v>
      </c>
      <c r="D28" s="3" t="s">
        <v>19</v>
      </c>
      <c r="E28" s="10">
        <f>YEARFRAC(Y28, $E$2, 1)</f>
        <v>20.025293350717078</v>
      </c>
      <c r="F28" s="8">
        <f>IFERROR(LEFT(AK28,FIND("'",AK28)-1)*12+SUBSTITUTE(MID(AK28,FIND("'",AK28)+1,LEN(AK28)),"''",""), "")</f>
        <v>73</v>
      </c>
      <c r="G28" s="8">
        <f>AL28</f>
        <v>180</v>
      </c>
      <c r="H28" s="8" t="str">
        <f>IFERROR(LEFT(AM28,FIND("'",AM28)-1)*12+SUBSTITUTE(MID(AM28,FIND("'",AM28)+1,LEN(AM28)),"''",""), "")</f>
        <v/>
      </c>
      <c r="I28" s="8" t="str">
        <f>IFERROR(LEFT(AN28,FIND("'",AN28)-1)*12+SUBSTITUTE(MID(AN28,FIND("'",AN28)+1,LEN(AN28)),"''",""), "")</f>
        <v/>
      </c>
      <c r="J28" s="8" t="str">
        <f>IFERROR(IF(AND(H28-F28&gt;= 0, H28 &gt; 0), "+", ""),"") &amp; IFERROR(IF(AND(H28-F28&gt;= -5, H28 &gt; 0), H28-F28, ""),"")</f>
        <v/>
      </c>
      <c r="K28" s="10" t="str">
        <f>IF(F28&gt;0, IFERROR((H28-60)/(F28-60),""), "")</f>
        <v/>
      </c>
      <c r="L28" s="3" t="s">
        <v>389</v>
      </c>
      <c r="M28" s="3" t="s">
        <v>390</v>
      </c>
      <c r="O28" s="3" t="s">
        <v>388</v>
      </c>
      <c r="Q28" s="7">
        <v>45</v>
      </c>
      <c r="R28" s="3">
        <f>ROW()-2</f>
        <v>26</v>
      </c>
      <c r="S28" s="8">
        <f>IF(Q28=Q27,S27, MAX(S$2:S27)+1)</f>
        <v>6</v>
      </c>
      <c r="T28" s="8">
        <f>IFERROR(INDEX(actual!A:A,MATCH(A28,actual!B:B,FALSE)), "")</f>
        <v>48</v>
      </c>
      <c r="U28" s="8" t="str">
        <f>IFERROR(INDEX(actual!C:C,MATCH(A28,actual!B:B,FALSE)), "")</f>
        <v>ATL</v>
      </c>
      <c r="V28" s="4" t="str">
        <f>HYPERLINK(IF(D28="", "https://www.basketball-reference.com/international", "https://www.sports-reference.com/cbb") &amp; "/players/" &amp; LOWER(SUBSTITUTE(A28, " ", "-") &amp; "-1.html"))</f>
        <v>https://www.sports-reference.com/cbb/players/sharife-cooper-1.html</v>
      </c>
      <c r="W28" s="4" t="str">
        <f>HYPERLINK("https://www.nbadraft.net/players/" &amp; LOWER(SUBSTITUTE(A28, " ", "-") &amp; ""))</f>
        <v>https://www.nbadraft.net/players/sharife-cooper</v>
      </c>
      <c r="X28" s="18" t="str">
        <f>HYPERLINK("https://www.nba.com/draft/2021/prospects/" &amp; LOWER(SUBSTITUTE(A28, " ", "-") &amp; ""))</f>
        <v>https://www.nba.com/draft/2021/prospects/sharife-cooper</v>
      </c>
      <c r="Y28" s="11">
        <v>37053</v>
      </c>
      <c r="Z28" s="14">
        <f>RANK(AA28,AA:AA,1)</f>
        <v>19</v>
      </c>
      <c r="AA28" s="13">
        <f>IFERROR( (3*IF(AB28&gt;0,AB28, 76) + 2*IF(AC28&gt;0,AC28, 18) + 2*IF(AD28&gt;0,AD28, 5) + 2*IF(AE28&gt;0,AE28, 70) + 2*IF(AF28&gt;0,AF28, 7)  + IF(AG28&gt;0,AG28, 51) + IF(AI28&gt;0,AI28, 9) +  IF(AH28&gt;0,AH28, 101) + 0.75*IF(AJ28&gt;0,AJ28, 101)), 99)</f>
        <v>217.75</v>
      </c>
      <c r="AB28" s="14">
        <v>29</v>
      </c>
      <c r="AC28" s="14">
        <v>15</v>
      </c>
      <c r="AD28" s="14">
        <v>4</v>
      </c>
      <c r="AE28" s="14">
        <v>12</v>
      </c>
      <c r="AF28" s="14">
        <v>4</v>
      </c>
      <c r="AG28" s="14">
        <v>19</v>
      </c>
      <c r="AH28" s="14">
        <v>24</v>
      </c>
      <c r="AI28" s="14">
        <v>5</v>
      </c>
      <c r="AJ28" s="14">
        <v>17</v>
      </c>
      <c r="AK28" s="2" t="str">
        <f>IFERROR(INDEX(measureables!$A:$J,MATCH($A28,measureables!$A:$A,FALSE),7), "")</f>
        <v>6'1</v>
      </c>
      <c r="AL28" s="2">
        <f>IFERROR(INDEX(measureables!$A:$J,MATCH($A28,measureables!$A:$A,FALSE),9), "")</f>
        <v>180</v>
      </c>
      <c r="AM28" s="2">
        <f>IFERROR(INDEX(measureables!$A:$J,MATCH($A28,measureables!$A:$A,FALSE),10), "")</f>
        <v>0</v>
      </c>
      <c r="AN28" s="2">
        <f>IFERROR(INDEX(measureables!$A:$J,MATCH($A28,measureables!$A:$A,FALSE),8), "")</f>
        <v>0</v>
      </c>
      <c r="AO28"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v>
      </c>
    </row>
    <row r="29" spans="1:41" ht="22" customHeight="1" x14ac:dyDescent="0.2">
      <c r="A29" t="s">
        <v>192</v>
      </c>
      <c r="B29" s="16" t="s">
        <v>324</v>
      </c>
      <c r="C29" s="3" t="s">
        <v>275</v>
      </c>
      <c r="D29" s="3" t="s">
        <v>256</v>
      </c>
      <c r="E29" s="10">
        <f>YEARFRAC(Y29, $E$2, 1)</f>
        <v>20.416818774445893</v>
      </c>
      <c r="F29" s="8">
        <f>IFERROR(LEFT(AK29,FIND("'",AK29)-1)*12+SUBSTITUTE(MID(AK29,FIND("'",AK29)+1,LEN(AK29)),"''",""), "")</f>
        <v>83.5</v>
      </c>
      <c r="G29" s="8">
        <f>AL29</f>
        <v>221.4</v>
      </c>
      <c r="H29" s="8">
        <f>IFERROR(LEFT(AM29,FIND("'",AM29)-1)*12+SUBSTITUTE(MID(AM29,FIND("'",AM29)+1,LEN(AM29)),"''",""), "")</f>
        <v>85.75</v>
      </c>
      <c r="I29" s="8">
        <f>IFERROR(LEFT(AN29,FIND("'",AN29)-1)*12+SUBSTITUTE(MID(AN29,FIND("'",AN29)+1,LEN(AN29)),"''",""), "")</f>
        <v>110.5</v>
      </c>
      <c r="J29" s="8" t="str">
        <f>IFERROR(IF(AND(H29-F29&gt;= 0, H29 &gt; 0), "+", ""),"") &amp; IFERROR(IF(AND(H29-F29&gt;= -5, H29 &gt; 0), H29-F29, ""),"")</f>
        <v>+2.25</v>
      </c>
      <c r="K29" s="10">
        <f>IF(F29&gt;0, IFERROR((H29-60)/(F29-60),""), "")</f>
        <v>1.0957446808510638</v>
      </c>
      <c r="M29" s="3" t="s">
        <v>414</v>
      </c>
      <c r="N29" s="3" t="s">
        <v>415</v>
      </c>
      <c r="Q29" s="7">
        <v>45</v>
      </c>
      <c r="R29" s="3">
        <f>ROW()-2</f>
        <v>27</v>
      </c>
      <c r="S29" s="8">
        <f>IF(Q29=Q28,S28, MAX(S$2:S28)+1)</f>
        <v>6</v>
      </c>
      <c r="T29" s="8">
        <f>IFERROR(INDEX(actual!A:A,MATCH(A29,actual!B:B,FALSE)), "")</f>
        <v>19</v>
      </c>
      <c r="U29" s="8" t="str">
        <f>IFERROR(INDEX(actual!C:C,MATCH(A29,actual!B:B,FALSE)), "")</f>
        <v>CHA</v>
      </c>
      <c r="V29" s="4" t="str">
        <f>HYPERLINK(IF(D29="", "https://www.basketball-reference.com/international", "https://www.sports-reference.com/cbb") &amp; "/players/" &amp; LOWER(SUBSTITUTE(A29, " ", "-") &amp; "-1.html"))</f>
        <v>https://www.sports-reference.com/cbb/players/kai-jones-1.html</v>
      </c>
      <c r="W29" s="4" t="str">
        <f>HYPERLINK("https://www.nbadraft.net/players/" &amp; LOWER(SUBSTITUTE(A29, " ", "-") &amp; ""))</f>
        <v>https://www.nbadraft.net/players/kai-jones</v>
      </c>
      <c r="X29" s="18" t="str">
        <f>HYPERLINK("https://www.nba.com/draft/2021/prospects/" &amp; LOWER(SUBSTITUTE(A29, " ", "-") &amp; ""))</f>
        <v>https://www.nba.com/draft/2021/prospects/kai-jones</v>
      </c>
      <c r="Y29" s="11">
        <v>36910</v>
      </c>
      <c r="Z29" s="14">
        <f>RANK(AA29,AA:AA,1)</f>
        <v>27</v>
      </c>
      <c r="AA29" s="13">
        <f>IFERROR( (3*IF(AB29&gt;0,AB29, 76) + 2*IF(AC29&gt;0,AC29, 18) + 2*IF(AD29&gt;0,AD29, 5) + 2*IF(AE29&gt;0,AE29, 70) + 2*IF(AF29&gt;0,AF29, 7)  + IF(AG29&gt;0,AG29, 51) + IF(AI29&gt;0,AI29, 9) +  IF(AH29&gt;0,AH29, 101) + 0.75*IF(AJ29&gt;0,AJ29, 101)), 99)</f>
        <v>276</v>
      </c>
      <c r="AB29" s="14">
        <v>32</v>
      </c>
      <c r="AE29" s="14">
        <v>34</v>
      </c>
      <c r="AF29" s="14">
        <v>5</v>
      </c>
      <c r="AG29" s="14">
        <v>18</v>
      </c>
      <c r="AH29" s="14">
        <v>19</v>
      </c>
      <c r="AI29" s="14">
        <v>4</v>
      </c>
      <c r="AJ29" s="14">
        <v>20</v>
      </c>
      <c r="AK29" s="2" t="str">
        <f>IFERROR(INDEX(measureables!$A:$J,MATCH($A29,measureables!$A:$A,FALSE),7), "")</f>
        <v>6'11.5''</v>
      </c>
      <c r="AL29" s="2">
        <f>IFERROR(INDEX(measureables!$A:$J,MATCH($A29,measureables!$A:$A,FALSE),9), "")</f>
        <v>221.4</v>
      </c>
      <c r="AM29" s="2" t="str">
        <f>IFERROR(INDEX(measureables!$A:$J,MATCH($A29,measureables!$A:$A,FALSE),10), "")</f>
        <v>7'1.75''</v>
      </c>
      <c r="AN29" s="2" t="str">
        <f>IFERROR(INDEX(measureables!$A:$J,MATCH($A29,measureables!$A:$A,FALSE),8), "")</f>
        <v>9'2.5''</v>
      </c>
      <c r="AO29"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v>
      </c>
    </row>
    <row r="30" spans="1:41" ht="22" customHeight="1" x14ac:dyDescent="0.2">
      <c r="A30" t="s">
        <v>98</v>
      </c>
      <c r="B30" s="16" t="s">
        <v>14</v>
      </c>
      <c r="C30" s="3" t="s">
        <v>272</v>
      </c>
      <c r="D30" s="3" t="s">
        <v>262</v>
      </c>
      <c r="E30" s="10">
        <f>YEARFRAC(Y30, $E$2, 1)</f>
        <v>21.003484320557494</v>
      </c>
      <c r="F30" s="8">
        <f>IFERROR(LEFT(AK30,FIND("'",AK30)-1)*12+SUBSTITUTE(MID(AK30,FIND("'",AK30)+1,LEN(AK30)),"''",""), "")</f>
        <v>81.25</v>
      </c>
      <c r="G30" s="8">
        <f>AL30</f>
        <v>206</v>
      </c>
      <c r="H30" s="8">
        <f>IFERROR(LEFT(AM30,FIND("'",AM30)-1)*12+SUBSTITUTE(MID(AM30,FIND("'",AM30)+1,LEN(AM30)),"''",""), "")</f>
        <v>84</v>
      </c>
      <c r="I30" s="8">
        <f>IFERROR(LEFT(AN30,FIND("'",AN30)-1)*12+SUBSTITUTE(MID(AN30,FIND("'",AN30)+1,LEN(AN30)),"''",""), "")</f>
        <v>105.5</v>
      </c>
      <c r="J30" s="8" t="str">
        <f>IFERROR(IF(AND(H30-F30&gt;= 0, H30 &gt; 0), "+", ""),"") &amp; IFERROR(IF(AND(H30-F30&gt;= -5, H30 &gt; 0), H30-F30, ""),"")</f>
        <v>+2.75</v>
      </c>
      <c r="K30" s="10">
        <f>IF(F30&gt;0, IFERROR((H30-60)/(F30-60),""), "")</f>
        <v>1.1294117647058823</v>
      </c>
      <c r="M30" s="3" t="s">
        <v>408</v>
      </c>
      <c r="N30" s="3" t="s">
        <v>407</v>
      </c>
      <c r="Q30" s="7">
        <v>45</v>
      </c>
      <c r="R30" s="3">
        <f>ROW()-2</f>
        <v>28</v>
      </c>
      <c r="S30" s="8">
        <f>IF(Q30=Q29,S29, MAX(S$2:S29)+1)</f>
        <v>6</v>
      </c>
      <c r="T30" s="8">
        <f>IFERROR(INDEX(actual!A:A,MATCH(A30,actual!B:B,FALSE)), "")</f>
        <v>17</v>
      </c>
      <c r="U30" s="8" t="str">
        <f>IFERROR(INDEX(actual!C:C,MATCH(A30,actual!B:B,FALSE)), "")</f>
        <v>MEM</v>
      </c>
      <c r="V30" s="17" t="s">
        <v>406</v>
      </c>
      <c r="W30" s="17" t="s">
        <v>405</v>
      </c>
      <c r="X30" s="17" t="s">
        <v>271</v>
      </c>
      <c r="Y30" s="11">
        <v>36695</v>
      </c>
      <c r="Z30" s="14">
        <f>RANK(AA30,AA:AA,1)</f>
        <v>24</v>
      </c>
      <c r="AA30" s="13">
        <f>IFERROR( (3*IF(AB30&gt;0,AB30, 76) + 2*IF(AC30&gt;0,AC30, 18) + 2*IF(AD30&gt;0,AD30, 5) + 2*IF(AE30&gt;0,AE30, 70) + 2*IF(AF30&gt;0,AF30, 7)  + IF(AG30&gt;0,AG30, 51) + IF(AI30&gt;0,AI30, 9) +  IF(AH30&gt;0,AH30, 101) + 0.75*IF(AJ30&gt;0,AJ30, 101)), 99)</f>
        <v>254.5</v>
      </c>
      <c r="AB30" s="14">
        <v>35</v>
      </c>
      <c r="AE30" s="14">
        <v>23</v>
      </c>
      <c r="AF30" s="14">
        <v>5</v>
      </c>
      <c r="AG30" s="14">
        <v>14</v>
      </c>
      <c r="AH30" s="14">
        <v>16</v>
      </c>
      <c r="AI30" s="14">
        <v>4</v>
      </c>
      <c r="AJ30" s="14">
        <v>18</v>
      </c>
      <c r="AK30" s="2" t="str">
        <f>IFERROR(INDEX(measureables!$A:$J,MATCH($A30,measureables!$A:$A,FALSE),7), "")</f>
        <v>6'9.25''</v>
      </c>
      <c r="AL30" s="2">
        <f>IFERROR(INDEX(measureables!$A:$J,MATCH($A30,measureables!$A:$A,FALSE),9), "")</f>
        <v>206</v>
      </c>
      <c r="AM30" s="2" t="str">
        <f>IFERROR(INDEX(measureables!$A:$J,MATCH($A30,measureables!$A:$A,FALSE),10), "")</f>
        <v>7'0.0''</v>
      </c>
      <c r="AN30" s="2" t="str">
        <f>IFERROR(INDEX(measureables!$A:$J,MATCH($A30,measureables!$A:$A,FALSE),8), "")</f>
        <v>8'9.5''</v>
      </c>
      <c r="AO30"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v>
      </c>
    </row>
    <row r="31" spans="1:41" ht="22" customHeight="1" x14ac:dyDescent="0.2">
      <c r="A31" t="s">
        <v>109</v>
      </c>
      <c r="B31" s="16" t="s">
        <v>12</v>
      </c>
      <c r="C31" s="3" t="s">
        <v>288</v>
      </c>
      <c r="D31" s="3" t="s">
        <v>262</v>
      </c>
      <c r="E31" s="10">
        <f>YEARFRAC(Y31, $E$2, 1)</f>
        <v>21.937745506487325</v>
      </c>
      <c r="F31" s="8">
        <f>IFERROR(LEFT(AK31,FIND("'",AK31)-1)*12+SUBSTITUTE(MID(AK31,FIND("'",AK31)+1,LEN(AK31)),"''",""), "")</f>
        <v>84.5</v>
      </c>
      <c r="G31" s="8">
        <f>AL31</f>
        <v>248.4</v>
      </c>
      <c r="H31" s="8">
        <f>IFERROR(LEFT(AM31,FIND("'",AM31)-1)*12+SUBSTITUTE(MID(AM31,FIND("'",AM31)+1,LEN(AM31)),"''",""), "")</f>
        <v>88</v>
      </c>
      <c r="I31" s="8">
        <f>IFERROR(LEFT(AN31,FIND("'",AN31)-1)*12+SUBSTITUTE(MID(AN31,FIND("'",AN31)+1,LEN(AN31)),"''",""), "")</f>
        <v>112.5</v>
      </c>
      <c r="J31" s="8" t="str">
        <f>IFERROR(IF(AND(H31-F31&gt;= 0, H31 &gt; 0), "+", ""),"") &amp; IFERROR(IF(AND(H31-F31&gt;= -5, H31 &gt; 0), H31-F31, ""),"")</f>
        <v>+3.5</v>
      </c>
      <c r="K31" s="10">
        <f>IF(F31&gt;0, IFERROR((H31-60)/(F31-60),""), "")</f>
        <v>1.1428571428571428</v>
      </c>
      <c r="M31" s="3" t="s">
        <v>441</v>
      </c>
      <c r="N31" s="3" t="s">
        <v>442</v>
      </c>
      <c r="Q31" s="7">
        <v>45</v>
      </c>
      <c r="R31" s="3">
        <f>ROW()-2</f>
        <v>29</v>
      </c>
      <c r="S31" s="8">
        <f>IF(Q31=Q30,S30, MAX(S$2:S30)+1)</f>
        <v>6</v>
      </c>
      <c r="T31" s="8">
        <f>IFERROR(INDEX(actual!A:A,MATCH(A31,actual!B:B,FALSE)), "")</f>
        <v>39</v>
      </c>
      <c r="U31" s="8" t="str">
        <f>IFERROR(INDEX(actual!C:C,MATCH(A31,actual!B:B,FALSE)), "")</f>
        <v>SAC</v>
      </c>
      <c r="V31" s="4" t="str">
        <f>HYPERLINK(IF(D31="", "https://www.basketball-reference.com/international", "https://www.sports-reference.com/cbb") &amp; "/players/" &amp; LOWER(SUBSTITUTE(A31, " ", "-") &amp; "-1.html"))</f>
        <v>https://www.sports-reference.com/cbb/players/neemias-queta-1.html</v>
      </c>
      <c r="W31" s="4" t="str">
        <f>HYPERLINK("https://www.nbadraft.net/players/" &amp; LOWER(SUBSTITUTE(A31, " ", "-") &amp; ""))</f>
        <v>https://www.nbadraft.net/players/neemias-queta</v>
      </c>
      <c r="X31" s="18" t="str">
        <f>HYPERLINK("https://www.nba.com/draft/2021/prospects/" &amp; LOWER(SUBSTITUTE(A31, " ", "-") &amp; ""))</f>
        <v>https://www.nba.com/draft/2021/prospects/neemias-queta</v>
      </c>
      <c r="Y31" s="11">
        <v>36354</v>
      </c>
      <c r="Z31" s="14">
        <f>RANK(AA31,AA:AA,1)</f>
        <v>40</v>
      </c>
      <c r="AA31" s="13">
        <f>IFERROR( (3*IF(AB31&gt;0,AB31, 76) + 2*IF(AC31&gt;0,AC31, 18) + 2*IF(AD31&gt;0,AD31, 5) + 2*IF(AE31&gt;0,AE31, 70) + 2*IF(AF31&gt;0,AF31, 7)  + IF(AG31&gt;0,AG31, 51) + IF(AI31&gt;0,AI31, 9) +  IF(AH31&gt;0,AH31, 101) + 0.75*IF(AJ31&gt;0,AJ31, 101)), 99)</f>
        <v>371.75</v>
      </c>
      <c r="AB31" s="14">
        <v>22</v>
      </c>
      <c r="AE31" s="14">
        <v>48</v>
      </c>
      <c r="AF31" s="14">
        <v>5</v>
      </c>
      <c r="AG31" s="14">
        <v>47</v>
      </c>
      <c r="AH31" s="14">
        <v>55</v>
      </c>
      <c r="AI31" s="14">
        <v>6</v>
      </c>
      <c r="AJ31" s="14">
        <v>61</v>
      </c>
      <c r="AK31" s="2" t="str">
        <f>IFERROR(INDEX(measureables!$A:$J,MATCH($A31,measureables!$A:$A,FALSE),7), "")</f>
        <v>7'0.5''</v>
      </c>
      <c r="AL31" s="2">
        <f>IFERROR(INDEX(measureables!$A:$J,MATCH($A31,measureables!$A:$A,FALSE),9), "")</f>
        <v>248.4</v>
      </c>
      <c r="AM31" s="2" t="str">
        <f>IFERROR(INDEX(measureables!$A:$J,MATCH($A31,measureables!$A:$A,FALSE),10), "")</f>
        <v>7'4.0''</v>
      </c>
      <c r="AN31" s="2" t="str">
        <f>IFERROR(INDEX(measureables!$A:$J,MATCH($A31,measureables!$A:$A,FALSE),8), "")</f>
        <v>9'4.5''</v>
      </c>
      <c r="AO31"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v>
      </c>
    </row>
    <row r="32" spans="1:41" ht="22" customHeight="1" x14ac:dyDescent="0.2">
      <c r="A32" t="s">
        <v>160</v>
      </c>
      <c r="B32" s="16" t="s">
        <v>423</v>
      </c>
      <c r="C32" s="3" t="s">
        <v>279</v>
      </c>
      <c r="D32" s="3" t="s">
        <v>265</v>
      </c>
      <c r="E32" s="10">
        <f>YEARFRAC(Y32, $E$2, 1)</f>
        <v>22.704996577686515</v>
      </c>
      <c r="F32" s="8">
        <f>IFERROR(LEFT(AK32,FIND("'",AK32)-1)*12+SUBSTITUTE(MID(AK32,FIND("'",AK32)+1,LEN(AK32)),"''",""), "")</f>
        <v>79.25</v>
      </c>
      <c r="G32" s="8">
        <f>AL32</f>
        <v>206.4</v>
      </c>
      <c r="H32" s="8">
        <f>IFERROR(LEFT(AM32,FIND("'",AM32)-1)*12+SUBSTITUTE(MID(AM32,FIND("'",AM32)+1,LEN(AM32)),"''",""), "")</f>
        <v>84.25</v>
      </c>
      <c r="I32" s="8">
        <f>IFERROR(LEFT(AN32,FIND("'",AN32)-1)*12+SUBSTITUTE(MID(AN32,FIND("'",AN32)+1,LEN(AN32)),"''",""), "")</f>
        <v>106</v>
      </c>
      <c r="J32" s="8" t="str">
        <f>IFERROR(IF(AND(H32-F32&gt;= 0, H32 &gt; 0), "+", ""),"") &amp; IFERROR(IF(AND(H32-F32&gt;= -5, H32 &gt; 0), H32-F32, ""),"")</f>
        <v>+5</v>
      </c>
      <c r="K32" s="10">
        <f>IF(F32&gt;0, IFERROR((H32-60)/(F32-60),""), "")</f>
        <v>1.2597402597402598</v>
      </c>
      <c r="L32" s="3" t="s">
        <v>425</v>
      </c>
      <c r="M32" s="3" t="s">
        <v>426</v>
      </c>
      <c r="N32" s="3" t="s">
        <v>332</v>
      </c>
      <c r="Q32" s="7">
        <v>45</v>
      </c>
      <c r="R32" s="3">
        <f>ROW()-2</f>
        <v>30</v>
      </c>
      <c r="S32" s="8">
        <f>IF(Q32=Q31,S31, MAX(S$2:S31)+1)</f>
        <v>6</v>
      </c>
      <c r="T32" s="8">
        <f>IFERROR(INDEX(actual!A:A,MATCH(A32,actual!B:B,FALSE)), "")</f>
        <v>35</v>
      </c>
      <c r="U32" s="8" t="str">
        <f>IFERROR(INDEX(actual!C:C,MATCH(A32,actual!B:B,FALSE)), "")</f>
        <v>NOP</v>
      </c>
      <c r="V32" s="17" t="s">
        <v>424</v>
      </c>
      <c r="W32" s="17" t="s">
        <v>422</v>
      </c>
      <c r="X32" s="18" t="str">
        <f>HYPERLINK("https://www.nba.com/draft/2021/prospects/" &amp; LOWER(SUBSTITUTE(A32, " ", "-") &amp; ""))</f>
        <v>https://www.nba.com/draft/2021/prospects/herbert-jones</v>
      </c>
      <c r="Y32" s="11">
        <v>36074</v>
      </c>
      <c r="Z32" s="14">
        <f>RANK(AA32,AA:AA,1)</f>
        <v>31</v>
      </c>
      <c r="AA32" s="13">
        <f>IFERROR( (3*IF(AB32&gt;0,AB32, 76) + 2*IF(AC32&gt;0,AC32, 18) + 2*IF(AD32&gt;0,AD32, 5) + 2*IF(AE32&gt;0,AE32, 70) + 2*IF(AF32&gt;0,AF32, 7)  + IF(AG32&gt;0,AG32, 51) + IF(AI32&gt;0,AI32, 9) +  IF(AH32&gt;0,AH32, 101) + 0.75*IF(AJ32&gt;0,AJ32, 101)), 99)</f>
        <v>318.75</v>
      </c>
      <c r="AB32" s="14">
        <v>23</v>
      </c>
      <c r="AE32" s="14">
        <v>42</v>
      </c>
      <c r="AF32" s="14">
        <v>5</v>
      </c>
      <c r="AG32" s="14">
        <v>43</v>
      </c>
      <c r="AH32" s="14">
        <v>28</v>
      </c>
      <c r="AI32" s="14">
        <v>5</v>
      </c>
      <c r="AJ32" s="14">
        <v>45</v>
      </c>
      <c r="AK32" s="2" t="str">
        <f>IFERROR(INDEX(measureables!$A:$J,MATCH($A32,measureables!$A:$A,FALSE),7), "")</f>
        <v>6'7.25''</v>
      </c>
      <c r="AL32" s="2">
        <f>IFERROR(INDEX(measureables!$A:$J,MATCH($A32,measureables!$A:$A,FALSE),9), "")</f>
        <v>206.4</v>
      </c>
      <c r="AM32" s="2" t="str">
        <f>IFERROR(INDEX(measureables!$A:$J,MATCH($A32,measureables!$A:$A,FALSE),10), "")</f>
        <v>7'0.25''</v>
      </c>
      <c r="AN32" s="2" t="str">
        <f>IFERROR(INDEX(measureables!$A:$J,MATCH($A32,measureables!$A:$A,FALSE),8), "")</f>
        <v>8'10.0''</v>
      </c>
      <c r="AO32"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v>
      </c>
    </row>
    <row r="33" spans="1:41" ht="22" customHeight="1" x14ac:dyDescent="0.2">
      <c r="A33" t="s">
        <v>146</v>
      </c>
      <c r="B33" s="16" t="s">
        <v>15</v>
      </c>
      <c r="C33" s="3" t="s">
        <v>261</v>
      </c>
      <c r="D33" s="3" t="s">
        <v>262</v>
      </c>
      <c r="E33" s="10">
        <f>YEARFRAC(Y33, $E$2, 1)</f>
        <v>22.78986995208761</v>
      </c>
      <c r="F33" s="8">
        <f>IFERROR(LEFT(AK33,FIND("'",AK33)-1)*12+SUBSTITUTE(MID(AK33,FIND("'",AK33)+1,LEN(AK33)),"''",""), "")</f>
        <v>73.25</v>
      </c>
      <c r="G33" s="8">
        <f>AL33</f>
        <v>202.4</v>
      </c>
      <c r="H33" s="8">
        <f>IFERROR(LEFT(AM33,FIND("'",AM33)-1)*12+SUBSTITUTE(MID(AM33,FIND("'",AM33)+1,LEN(AM33)),"''",""), "")</f>
        <v>76.25</v>
      </c>
      <c r="I33" s="8">
        <f>IFERROR(LEFT(AN33,FIND("'",AN33)-1)*12+SUBSTITUTE(MID(AN33,FIND("'",AN33)+1,LEN(AN33)),"''",""), "")</f>
        <v>96.5</v>
      </c>
      <c r="J33" s="8" t="str">
        <f>IFERROR(IF(AND(H33-F33&gt;= 0, H33 &gt; 0), "+", ""),"") &amp; IFERROR(IF(AND(H33-F33&gt;= -5, H33 &gt; 0), H33-F33, ""),"")</f>
        <v>+3</v>
      </c>
      <c r="K33" s="10">
        <f>IF(F33&gt;0, IFERROR((H33-60)/(F33-60),""), "")</f>
        <v>1.2264150943396226</v>
      </c>
      <c r="M33" s="3" t="s">
        <v>378</v>
      </c>
      <c r="N33" s="3" t="s">
        <v>380</v>
      </c>
      <c r="O33" s="3" t="s">
        <v>379</v>
      </c>
      <c r="Q33" s="7">
        <v>45</v>
      </c>
      <c r="R33" s="3">
        <f>ROW()-2</f>
        <v>31</v>
      </c>
      <c r="S33" s="8">
        <f>IF(Q33=Q32,S32, MAX(S$2:S32)+1)</f>
        <v>6</v>
      </c>
      <c r="T33" s="8">
        <f>IFERROR(INDEX(actual!A:A,MATCH(A33,actual!B:B,FALSE)), "")</f>
        <v>9</v>
      </c>
      <c r="U33" s="8" t="str">
        <f>IFERROR(INDEX(actual!C:C,MATCH(A33,actual!B:B,FALSE)), "")</f>
        <v>SAC</v>
      </c>
      <c r="V33" s="4" t="str">
        <f>HYPERLINK(IF(D33="", "https://www.basketball-reference.com/international", "https://www.sports-reference.com/cbb") &amp; "/players/" &amp; LOWER(SUBSTITUTE(A33, " ", "-") &amp; "-1.html"))</f>
        <v>https://www.sports-reference.com/cbb/players/davion-mitchell-1.html</v>
      </c>
      <c r="W33" s="4" t="str">
        <f>HYPERLINK("https://www.nbadraft.net/players/" &amp; LOWER(SUBSTITUTE(A33, " ", "-") &amp; ""))</f>
        <v>https://www.nbadraft.net/players/davion-mitchell</v>
      </c>
      <c r="X33" s="18" t="str">
        <f>HYPERLINK("https://www.nba.com/draft/2021/prospects/" &amp; LOWER(SUBSTITUTE(A33, " ", "-") &amp; ""))</f>
        <v>https://www.nba.com/draft/2021/prospects/davion-mitchell</v>
      </c>
      <c r="Y33" s="11">
        <v>36043</v>
      </c>
      <c r="Z33" s="14">
        <f>RANK(AA33,AA:AA,1)</f>
        <v>15</v>
      </c>
      <c r="AA33" s="13">
        <f>IFERROR( (3*IF(AB33&gt;0,AB33, 76) + 2*IF(AC33&gt;0,AC33, 18) + 2*IF(AD33&gt;0,AD33, 5) + 2*IF(AE33&gt;0,AE33, 70) + 2*IF(AF33&gt;0,AF33, 7)  + IF(AG33&gt;0,AG33, 51) + IF(AI33&gt;0,AI33, 9) +  IF(AH33&gt;0,AH33, 101) + 0.75*IF(AJ33&gt;0,AJ33, 101)), 99)</f>
        <v>181.25</v>
      </c>
      <c r="AB33" s="14">
        <v>16</v>
      </c>
      <c r="AE33" s="14">
        <v>25</v>
      </c>
      <c r="AF33" s="14">
        <v>5</v>
      </c>
      <c r="AG33" s="14">
        <v>8</v>
      </c>
      <c r="AH33" s="14">
        <v>10</v>
      </c>
      <c r="AI33" s="14">
        <v>4</v>
      </c>
      <c r="AJ33" s="14">
        <v>7</v>
      </c>
      <c r="AK33" s="2" t="str">
        <f>IFERROR(INDEX(measureables!$A:$J,MATCH($A33,measureables!$A:$A,FALSE),7), "")</f>
        <v>6'1.25''</v>
      </c>
      <c r="AL33" s="2">
        <f>IFERROR(INDEX(measureables!$A:$J,MATCH($A33,measureables!$A:$A,FALSE),9), "")</f>
        <v>202.4</v>
      </c>
      <c r="AM33" s="2" t="str">
        <f>IFERROR(INDEX(measureables!$A:$J,MATCH($A33,measureables!$A:$A,FALSE),10), "")</f>
        <v>6'4.25''</v>
      </c>
      <c r="AN33" s="2" t="str">
        <f>IFERROR(INDEX(measureables!$A:$J,MATCH($A33,measureables!$A:$A,FALSE),8), "")</f>
        <v>8'0.5''</v>
      </c>
      <c r="AO33"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v>
      </c>
    </row>
    <row r="34" spans="1:41" ht="22" customHeight="1" x14ac:dyDescent="0.2">
      <c r="A34" t="s">
        <v>227</v>
      </c>
      <c r="B34" s="16" t="s">
        <v>325</v>
      </c>
      <c r="C34" s="3" t="s">
        <v>274</v>
      </c>
      <c r="D34" s="3" t="s">
        <v>256</v>
      </c>
      <c r="E34" s="10">
        <f>YEARFRAC(Y34, $E$2, 1)</f>
        <v>24.019822582411564</v>
      </c>
      <c r="F34" s="8">
        <f>IFERROR(LEFT(AK34,FIND("'",AK34)-1)*12+SUBSTITUTE(MID(AK34,FIND("'",AK34)+1,LEN(AK34)),"''",""), "")</f>
        <v>78</v>
      </c>
      <c r="G34" s="8">
        <f>AL34</f>
        <v>190</v>
      </c>
      <c r="H34" s="8" t="str">
        <f>IFERROR(LEFT(AM34,FIND("'",AM34)-1)*12+SUBSTITUTE(MID(AM34,FIND("'",AM34)+1,LEN(AM34)),"''",""), "")</f>
        <v/>
      </c>
      <c r="I34" s="8" t="str">
        <f>IFERROR(LEFT(AN34,FIND("'",AN34)-1)*12+SUBSTITUTE(MID(AN34,FIND("'",AN34)+1,LEN(AN34)),"''",""), "")</f>
        <v/>
      </c>
      <c r="J34" s="8" t="str">
        <f>IFERROR(IF(AND(H34-F34&gt;= 0, H34 &gt; 0), "+", ""),"") &amp; IFERROR(IF(AND(H34-F34&gt;= -5, H34 &gt; 0), H34-F34, ""),"")</f>
        <v/>
      </c>
      <c r="K34" s="10" t="str">
        <f>IF(F34&gt;0, IFERROR((H34-60)/(F34-60),""), "")</f>
        <v/>
      </c>
      <c r="M34" s="3" t="s">
        <v>412</v>
      </c>
      <c r="N34" s="3" t="s">
        <v>413</v>
      </c>
      <c r="O34" s="3" t="s">
        <v>319</v>
      </c>
      <c r="Q34" s="7">
        <v>45</v>
      </c>
      <c r="R34" s="3">
        <f>ROW()-2</f>
        <v>32</v>
      </c>
      <c r="S34" s="8">
        <f>IF(Q34=Q33,S33, MAX(S$2:S33)+1)</f>
        <v>6</v>
      </c>
      <c r="T34" s="8">
        <f>IFERROR(INDEX(actual!A:A,MATCH(A34,actual!B:B,FALSE)), "")</f>
        <v>13</v>
      </c>
      <c r="U34" s="8" t="str">
        <f>IFERROR(INDEX(actual!C:C,MATCH(A34,actual!B:B,FALSE)), "")</f>
        <v>IND</v>
      </c>
      <c r="V34" s="4" t="str">
        <f>HYPERLINK(IF(D34="", "https://www.basketball-reference.com/international", "https://www.sports-reference.com/cbb") &amp; "/players/" &amp; LOWER(SUBSTITUTE(A34, " ", "-") &amp; "-1.html"))</f>
        <v>https://www.sports-reference.com/cbb/players/chris-duarte-1.html</v>
      </c>
      <c r="W34" s="4" t="str">
        <f>HYPERLINK("https://www.nbadraft.net/players/" &amp; LOWER(SUBSTITUTE(A34, " ", "-") &amp; ""))</f>
        <v>https://www.nbadraft.net/players/chris-duarte</v>
      </c>
      <c r="X34" s="18" t="str">
        <f>HYPERLINK("https://www.nba.com/draft/2021/prospects/" &amp; LOWER(SUBSTITUTE(A34, " ", "-") &amp; ""))</f>
        <v>https://www.nba.com/draft/2021/prospects/chris-duarte</v>
      </c>
      <c r="Y34" s="11">
        <v>35594</v>
      </c>
      <c r="Z34" s="14">
        <f>RANK(AA34,AA:AA,1)</f>
        <v>26</v>
      </c>
      <c r="AA34" s="13">
        <f>IFERROR( (3*IF(AB34&gt;0,AB34, 76) + 2*IF(AC34&gt;0,AC34, 18) + 2*IF(AD34&gt;0,AD34, 5) + 2*IF(AE34&gt;0,AE34, 70) + 2*IF(AF34&gt;0,AF34, 7)  + IF(AG34&gt;0,AG34, 51) + IF(AI34&gt;0,AI34, 9) +  IF(AH34&gt;0,AH34, 101) + 0.75*IF(AJ34&gt;0,AJ34, 101)), 99)</f>
        <v>270.25</v>
      </c>
      <c r="AB34" s="14">
        <v>19</v>
      </c>
      <c r="AE34" s="14">
        <v>30</v>
      </c>
      <c r="AF34" s="14">
        <v>5</v>
      </c>
      <c r="AG34" s="14">
        <v>23</v>
      </c>
      <c r="AH34" s="14">
        <v>13</v>
      </c>
      <c r="AI34" s="14">
        <v>44</v>
      </c>
      <c r="AJ34" s="14">
        <v>23</v>
      </c>
      <c r="AK34" s="2" t="str">
        <f>IFERROR(INDEX(measureables!$A:$J,MATCH($A34,measureables!$A:$A,FALSE),7), "")</f>
        <v>6'6</v>
      </c>
      <c r="AL34" s="2">
        <f>IFERROR(INDEX(measureables!$A:$J,MATCH($A34,measureables!$A:$A,FALSE),9), "")</f>
        <v>190</v>
      </c>
      <c r="AM34" s="2">
        <f>IFERROR(INDEX(measureables!$A:$J,MATCH($A34,measureables!$A:$A,FALSE),10), "")</f>
        <v>0</v>
      </c>
      <c r="AN34" s="2">
        <f>IFERROR(INDEX(measureables!$A:$J,MATCH($A34,measureables!$A:$A,FALSE),8), "")</f>
        <v>0</v>
      </c>
      <c r="AO34"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v>
      </c>
    </row>
    <row r="35" spans="1:41" ht="22" customHeight="1" x14ac:dyDescent="0.2">
      <c r="A35" t="s">
        <v>145</v>
      </c>
      <c r="B35" s="16" t="s">
        <v>13</v>
      </c>
      <c r="C35" s="3" t="s">
        <v>253</v>
      </c>
      <c r="E35" s="10">
        <f>YEARFRAC(Y35, $E$2, 1)</f>
        <v>19.6748370273794</v>
      </c>
      <c r="F35" s="8">
        <f>IFERROR(LEFT(AK35,FIND("'",AK35)-1)*12+SUBSTITUTE(MID(AK35,FIND("'",AK35)+1,LEN(AK35)),"''",""), "")</f>
        <v>82</v>
      </c>
      <c r="G35" s="8">
        <f>AL35</f>
        <v>219</v>
      </c>
      <c r="H35" s="8">
        <f>IFERROR(LEFT(AM35,FIND("'",AM35)-1)*12+SUBSTITUTE(MID(AM35,FIND("'",AM35)+1,LEN(AM35)),"''",""), "")</f>
        <v>85.25</v>
      </c>
      <c r="I35" s="8">
        <f>IFERROR(LEFT(AN35,FIND("'",AN35)-1)*12+SUBSTITUTE(MID(AN35,FIND("'",AN35)+1,LEN(AN35)),"''",""), "")</f>
        <v>107.5</v>
      </c>
      <c r="J35" s="8" t="str">
        <f>IFERROR(IF(AND(H35-F35&gt;= 0, H35 &gt; 0), "+", ""),"") &amp; IFERROR(IF(AND(H35-F35&gt;= -5, H35 &gt; 0), H35-F35, ""),"")</f>
        <v>+3.25</v>
      </c>
      <c r="K35" s="10">
        <f>IF(F35&gt;0, IFERROR((H35-60)/(F35-60),""), "")</f>
        <v>1.1477272727272727</v>
      </c>
      <c r="M35" s="3" t="s">
        <v>312</v>
      </c>
      <c r="N35" s="3" t="s">
        <v>440</v>
      </c>
      <c r="Q35" s="7">
        <v>42</v>
      </c>
      <c r="R35" s="3">
        <f>ROW()-2</f>
        <v>33</v>
      </c>
      <c r="S35" s="8">
        <f>IF(Q35=Q34,S34, MAX(S$2:S34)+1)</f>
        <v>7</v>
      </c>
      <c r="T35" s="8">
        <f>IFERROR(INDEX(actual!A:A,MATCH(A35,actual!B:B,FALSE)), "")</f>
        <v>31</v>
      </c>
      <c r="U35" s="8" t="str">
        <f>IFERROR(INDEX(actual!C:C,MATCH(A35,actual!B:B,FALSE)), "")</f>
        <v>WAS</v>
      </c>
      <c r="V35" s="17" t="s">
        <v>439</v>
      </c>
      <c r="W35" s="4" t="str">
        <f>HYPERLINK("https://www.nbadraft.net/players/" &amp; LOWER(SUBSTITUTE(A35, " ", "-") &amp; ""))</f>
        <v>https://www.nbadraft.net/players/isaiah-todd</v>
      </c>
      <c r="X35" s="18" t="str">
        <f>HYPERLINK("https://www.nba.com/draft/2021/prospects/" &amp; LOWER(SUBSTITUTE(A35, " ", "-") &amp; ""))</f>
        <v>https://www.nba.com/draft/2021/prospects/isaiah-todd</v>
      </c>
      <c r="Y35" s="11">
        <v>37181</v>
      </c>
      <c r="Z35" s="14">
        <f>RANK(AA35,AA:AA,1)</f>
        <v>43</v>
      </c>
      <c r="AA35" s="13">
        <f>IFERROR( (3*IF(AB35&gt;0,AB35, 76) + 2*IF(AC35&gt;0,AC35, 18) + 2*IF(AD35&gt;0,AD35, 5) + 2*IF(AE35&gt;0,AE35, 70) + 2*IF(AF35&gt;0,AF35, 7)  + IF(AG35&gt;0,AG35, 51) + IF(AI35&gt;0,AI35, 9) +  IF(AH35&gt;0,AH35, 101) + 0.75*IF(AJ35&gt;0,AJ35, 101)), 99)</f>
        <v>398.5</v>
      </c>
      <c r="AB35" s="14">
        <v>44</v>
      </c>
      <c r="AE35" s="14">
        <v>47</v>
      </c>
      <c r="AF35" s="14">
        <v>6</v>
      </c>
      <c r="AG35" s="14">
        <v>21</v>
      </c>
      <c r="AH35" s="14">
        <v>53</v>
      </c>
      <c r="AI35" s="14">
        <v>6</v>
      </c>
      <c r="AJ35" s="14">
        <v>46</v>
      </c>
      <c r="AK35" s="2" t="str">
        <f>IFERROR(INDEX(measureables!$A:$J,MATCH($A35,measureables!$A:$A,FALSE),7), "")</f>
        <v>6'10.0''</v>
      </c>
      <c r="AL35" s="2">
        <f>IFERROR(INDEX(measureables!$A:$J,MATCH($A35,measureables!$A:$A,FALSE),9), "")</f>
        <v>219</v>
      </c>
      <c r="AM35" s="2" t="str">
        <f>IFERROR(INDEX(measureables!$A:$J,MATCH($A35,measureables!$A:$A,FALSE),10), "")</f>
        <v>7'1.25''</v>
      </c>
      <c r="AN35" s="2" t="str">
        <f>IFERROR(INDEX(measureables!$A:$J,MATCH($A35,measureables!$A:$A,FALSE),8), "")</f>
        <v>8'11.5''</v>
      </c>
      <c r="AO35"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v>
      </c>
    </row>
    <row r="36" spans="1:41" ht="22" customHeight="1" x14ac:dyDescent="0.2">
      <c r="A36" t="s">
        <v>206</v>
      </c>
      <c r="B36" s="16" t="s">
        <v>367</v>
      </c>
      <c r="C36" s="3" t="s">
        <v>278</v>
      </c>
      <c r="D36" s="3" t="s">
        <v>256</v>
      </c>
      <c r="E36" s="10">
        <f>YEARFRAC(Y36, $E$2, 1)</f>
        <v>20.375749674054759</v>
      </c>
      <c r="F36" s="8">
        <f>IFERROR(LEFT(AK36,FIND("'",AK36)-1)*12+SUBSTITUTE(MID(AK36,FIND("'",AK36)+1,LEN(AK36)),"''",""), "")</f>
        <v>76.25</v>
      </c>
      <c r="G36" s="8">
        <f>AL36</f>
        <v>177.6</v>
      </c>
      <c r="H36" s="8">
        <f>IFERROR(LEFT(AM36,FIND("'",AM36)-1)*12+SUBSTITUTE(MID(AM36,FIND("'",AM36)+1,LEN(AM36)),"''",""), "")</f>
        <v>76</v>
      </c>
      <c r="I36" s="8">
        <f>IFERROR(LEFT(AN36,FIND("'",AN36)-1)*12+SUBSTITUTE(MID(AN36,FIND("'",AN36)+1,LEN(AN36)),"''",""), "")</f>
        <v>98.5</v>
      </c>
      <c r="J36" s="8" t="str">
        <f>IFERROR(IF(AND(H36-F36&gt;= 0, H36 &gt; 0), "+", ""),"") &amp; IFERROR(IF(AND(H36-F36&gt;= -5, H36 &gt; 0), H36-F36, ""),"")</f>
        <v>-0.25</v>
      </c>
      <c r="K36" s="10">
        <f>IF(F36&gt;0, IFERROR((H36-60)/(F36-60),""), "")</f>
        <v>0.98461538461538467</v>
      </c>
      <c r="M36" s="3" t="s">
        <v>421</v>
      </c>
      <c r="N36" s="3" t="s">
        <v>420</v>
      </c>
      <c r="Q36" s="7">
        <v>42</v>
      </c>
      <c r="R36" s="3">
        <f>ROW()-2</f>
        <v>34</v>
      </c>
      <c r="S36" s="8">
        <f>IF(Q36=Q35,S35, MAX(S$2:S35)+1)</f>
        <v>7</v>
      </c>
      <c r="T36" s="8">
        <f>IFERROR(INDEX(actual!A:A,MATCH(A36,actual!B:B,FALSE)), "")</f>
        <v>18</v>
      </c>
      <c r="U36" s="8" t="str">
        <f>IFERROR(INDEX(actual!C:C,MATCH(A36,actual!B:B,FALSE)), "")</f>
        <v>OKC</v>
      </c>
      <c r="V36" s="4" t="str">
        <f>HYPERLINK(IF(D36="", "https://www.basketball-reference.com/international", "https://www.sports-reference.com/cbb") &amp; "/players/" &amp; LOWER(SUBSTITUTE(A36, " ", "-") &amp; "-1.html"))</f>
        <v>https://www.sports-reference.com/cbb/players/tre-mann-1.html</v>
      </c>
      <c r="W36" s="4" t="str">
        <f>HYPERLINK("https://www.nbadraft.net/players/" &amp; LOWER(SUBSTITUTE(A36, " ", "-") &amp; ""))</f>
        <v>https://www.nbadraft.net/players/tre-mann</v>
      </c>
      <c r="X36" s="18" t="str">
        <f>HYPERLINK("https://www.nba.com/draft/2021/prospects/" &amp; LOWER(SUBSTITUTE(A36, " ", "-") &amp; ""))</f>
        <v>https://www.nba.com/draft/2021/prospects/tre-mann</v>
      </c>
      <c r="Y36" s="11">
        <v>36925</v>
      </c>
      <c r="Z36" s="14">
        <f>RANK(AA36,AA:AA,1)</f>
        <v>30</v>
      </c>
      <c r="AA36" s="13">
        <f>IFERROR( (3*IF(AB36&gt;0,AB36, 76) + 2*IF(AC36&gt;0,AC36, 18) + 2*IF(AD36&gt;0,AD36, 5) + 2*IF(AE36&gt;0,AE36, 70) + 2*IF(AF36&gt;0,AF36, 7)  + IF(AG36&gt;0,AG36, 51) + IF(AI36&gt;0,AI36, 9) +  IF(AH36&gt;0,AH36, 101) + 0.75*IF(AJ36&gt;0,AJ36, 101)), 99)</f>
        <v>312.5</v>
      </c>
      <c r="AB36" s="14">
        <v>40</v>
      </c>
      <c r="AE36" s="14">
        <v>29</v>
      </c>
      <c r="AF36" s="14">
        <v>5</v>
      </c>
      <c r="AG36" s="14">
        <v>24</v>
      </c>
      <c r="AH36" s="14">
        <v>33</v>
      </c>
      <c r="AI36" s="14">
        <v>5</v>
      </c>
      <c r="AJ36" s="14">
        <v>22</v>
      </c>
      <c r="AK36" s="2" t="str">
        <f>IFERROR(INDEX(measureables!$A:$J,MATCH($A36,measureables!$A:$A,FALSE),7), "")</f>
        <v>6'4.25''</v>
      </c>
      <c r="AL36" s="2">
        <f>IFERROR(INDEX(measureables!$A:$J,MATCH($A36,measureables!$A:$A,FALSE),9), "")</f>
        <v>177.6</v>
      </c>
      <c r="AM36" s="2" t="str">
        <f>IFERROR(INDEX(measureables!$A:$J,MATCH($A36,measureables!$A:$A,FALSE),10), "")</f>
        <v>6'4.0''</v>
      </c>
      <c r="AN36" s="2" t="str">
        <f>IFERROR(INDEX(measureables!$A:$J,MATCH($A36,measureables!$A:$A,FALSE),8), "")</f>
        <v>8'2.5''</v>
      </c>
      <c r="AO36"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v>
      </c>
    </row>
    <row r="37" spans="1:41" ht="22" customHeight="1" x14ac:dyDescent="0.2">
      <c r="A37" t="s">
        <v>228</v>
      </c>
      <c r="B37" s="16" t="s">
        <v>423</v>
      </c>
      <c r="C37" s="3" t="s">
        <v>284</v>
      </c>
      <c r="D37" s="3" t="s">
        <v>256</v>
      </c>
      <c r="E37" s="10">
        <f>YEARFRAC(Y37, $E$2, 1)</f>
        <v>20.441460234680573</v>
      </c>
      <c r="F37" s="8">
        <f>IFERROR(LEFT(AK37,FIND("'",AK37)-1)*12+SUBSTITUTE(MID(AK37,FIND("'",AK37)+1,LEN(AK37)),"''",""), "")</f>
        <v>83</v>
      </c>
      <c r="G37" s="8">
        <f>AL37</f>
        <v>224</v>
      </c>
      <c r="H37" s="8" t="str">
        <f>IFERROR(LEFT(AM37,FIND("'",AM37)-1)*12+SUBSTITUTE(MID(AM37,FIND("'",AM37)+1,LEN(AM37)),"''",""), "")</f>
        <v/>
      </c>
      <c r="I37" s="8" t="str">
        <f>IFERROR(LEFT(AN37,FIND("'",AN37)-1)*12+SUBSTITUTE(MID(AN37,FIND("'",AN37)+1,LEN(AN37)),"''",""), "")</f>
        <v/>
      </c>
      <c r="J37" s="8" t="str">
        <f>IFERROR(IF(AND(H37-F37&gt;= 0, H37 &gt; 0), "+", ""),"") &amp; IFERROR(IF(AND(H37-F37&gt;= -5, H37 &gt; 0), H37-F37, ""),"")</f>
        <v/>
      </c>
      <c r="K37" s="10" t="str">
        <f>IF(F37&gt;0, IFERROR((H37-60)/(F37-60),""), "")</f>
        <v/>
      </c>
      <c r="M37" s="3" t="s">
        <v>435</v>
      </c>
      <c r="N37" s="3" t="s">
        <v>436</v>
      </c>
      <c r="Q37" s="7">
        <v>42</v>
      </c>
      <c r="R37" s="3">
        <f>ROW()-2</f>
        <v>35</v>
      </c>
      <c r="S37" s="8">
        <f>IF(Q37=Q36,S36, MAX(S$2:S36)+1)</f>
        <v>7</v>
      </c>
      <c r="T37" s="8">
        <f>IFERROR(INDEX(actual!A:A,MATCH(A37,actual!B:B,FALSE)), "")</f>
        <v>30</v>
      </c>
      <c r="U37" s="8" t="str">
        <f>IFERROR(INDEX(actual!C:C,MATCH(A37,actual!B:B,FALSE)), "")</f>
        <v>UTA</v>
      </c>
      <c r="V37" s="4" t="str">
        <f>HYPERLINK(IF(D37="", "https://www.basketball-reference.com/international", "https://www.sports-reference.com/cbb") &amp; "/players/" &amp; LOWER(SUBSTITUTE(A37, " ", "-") &amp; "-1.html"))</f>
        <v>https://www.sports-reference.com/cbb/players/santi-aldama-1.html</v>
      </c>
      <c r="W37" s="4" t="str">
        <f>HYPERLINK("https://www.nbadraft.net/players/" &amp; LOWER(SUBSTITUTE(A37, " ", "-") &amp; ""))</f>
        <v>https://www.nbadraft.net/players/santi-aldama</v>
      </c>
      <c r="X37" s="18" t="str">
        <f>HYPERLINK("https://www.nba.com/draft/2021/prospects/" &amp; LOWER(SUBSTITUTE(A37, " ", "-") &amp; ""))</f>
        <v>https://www.nba.com/draft/2021/prospects/santi-aldama</v>
      </c>
      <c r="Y37" s="11">
        <v>36901</v>
      </c>
      <c r="Z37" s="14">
        <f>RANK(AA37,AA:AA,1)</f>
        <v>37</v>
      </c>
      <c r="AA37" s="13">
        <f>IFERROR( (3*IF(AB37&gt;0,AB37, 76) + 2*IF(AC37&gt;0,AC37, 18) + 2*IF(AD37&gt;0,AD37, 5) + 2*IF(AE37&gt;0,AE37, 70) + 2*IF(AF37&gt;0,AF37, 7)  + IF(AG37&gt;0,AG37, 51) + IF(AI37&gt;0,AI37, 9) +  IF(AH37&gt;0,AH37, 101) + 0.75*IF(AJ37&gt;0,AJ37, 101)), 99)</f>
        <v>367.25</v>
      </c>
      <c r="AB37" s="14">
        <v>27</v>
      </c>
      <c r="AE37" s="14">
        <v>47</v>
      </c>
      <c r="AF37" s="14">
        <v>5</v>
      </c>
      <c r="AH37" s="14">
        <v>36</v>
      </c>
      <c r="AI37" s="14">
        <v>5</v>
      </c>
      <c r="AJ37" s="14">
        <v>59</v>
      </c>
      <c r="AK37" s="2" t="str">
        <f>IFERROR(INDEX(measureables!$A:$J,MATCH($A37,measureables!$A:$A,FALSE),7), "")</f>
        <v>6'11</v>
      </c>
      <c r="AL37" s="2">
        <f>IFERROR(INDEX(measureables!$A:$J,MATCH($A37,measureables!$A:$A,FALSE),9), "")</f>
        <v>224</v>
      </c>
      <c r="AM37" s="2">
        <f>IFERROR(INDEX(measureables!$A:$J,MATCH($A37,measureables!$A:$A,FALSE),10), "")</f>
        <v>0</v>
      </c>
      <c r="AN37" s="2">
        <f>IFERROR(INDEX(measureables!$A:$J,MATCH($A37,measureables!$A:$A,FALSE),8), "")</f>
        <v>0</v>
      </c>
      <c r="AO37"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v>
      </c>
    </row>
    <row r="38" spans="1:41" ht="22" customHeight="1" x14ac:dyDescent="0.2">
      <c r="A38" t="s">
        <v>164</v>
      </c>
      <c r="B38" s="16" t="s">
        <v>16</v>
      </c>
      <c r="C38" s="3" t="s">
        <v>277</v>
      </c>
      <c r="D38" s="3" t="s">
        <v>256</v>
      </c>
      <c r="E38" s="10">
        <f>YEARFRAC(Y38, $E$2, 1)</f>
        <v>20.762568442010952</v>
      </c>
      <c r="F38" s="8">
        <f>IFERROR(LEFT(AK38,FIND("'",AK38)-1)*12+SUBSTITUTE(MID(AK38,FIND("'",AK38)+1,LEN(AK38)),"''",""), "")</f>
        <v>75.5</v>
      </c>
      <c r="G38" s="8">
        <f>AL38</f>
        <v>169</v>
      </c>
      <c r="H38" s="8">
        <f>IFERROR(LEFT(AM38,FIND("'",AM38)-1)*12+SUBSTITUTE(MID(AM38,FIND("'",AM38)+1,LEN(AM38)),"''",""), "")</f>
        <v>81.25</v>
      </c>
      <c r="I38" s="8">
        <f>IFERROR(LEFT(AN38,FIND("'",AN38)-1)*12+SUBSTITUTE(MID(AN38,FIND("'",AN38)+1,LEN(AN38)),"''",""), "")</f>
        <v>101.5</v>
      </c>
      <c r="J38" s="8" t="str">
        <f>IFERROR(IF(AND(H38-F38&gt;= 0, H38 &gt; 0), "+", ""),"") &amp; IFERROR(IF(AND(H38-F38&gt;= -5, H38 &gt; 0), H38-F38, ""),"")</f>
        <v>+5.75</v>
      </c>
      <c r="K38" s="10">
        <f>IF(F38&gt;0, IFERROR((H38-60)/(F38-60),""), "")</f>
        <v>1.3709677419354838</v>
      </c>
      <c r="M38" s="3" t="s">
        <v>419</v>
      </c>
      <c r="N38" s="3" t="s">
        <v>359</v>
      </c>
      <c r="Q38" s="7">
        <v>42</v>
      </c>
      <c r="R38" s="3">
        <f>ROW()-2</f>
        <v>36</v>
      </c>
      <c r="S38" s="8">
        <f>IF(Q38=Q37,S37, MAX(S$2:S37)+1)</f>
        <v>7</v>
      </c>
      <c r="T38" s="8">
        <f>IFERROR(INDEX(actual!A:A,MATCH(A38,actual!B:B,FALSE)), "")</f>
        <v>26</v>
      </c>
      <c r="U38" s="8" t="str">
        <f>IFERROR(INDEX(actual!C:C,MATCH(A38,actual!B:B,FALSE)), "")</f>
        <v>DEN</v>
      </c>
      <c r="V38" s="17" t="s">
        <v>418</v>
      </c>
      <c r="W38" s="4" t="str">
        <f>HYPERLINK("https://www.nbadraft.net/players/" &amp; LOWER(SUBSTITUTE(A38, " ", "-") &amp; ""))</f>
        <v>https://www.nbadraft.net/players/nah'shon-hyland</v>
      </c>
      <c r="X38" s="17" t="s">
        <v>276</v>
      </c>
      <c r="Y38" s="11">
        <v>36783</v>
      </c>
      <c r="Z38" s="14">
        <f>RANK(AA38,AA:AA,1)</f>
        <v>29</v>
      </c>
      <c r="AA38" s="13">
        <f>IFERROR( (3*IF(AB38&gt;0,AB38, 76) + 2*IF(AC38&gt;0,AC38, 18) + 2*IF(AD38&gt;0,AD38, 5) + 2*IF(AE38&gt;0,AE38, 70) + 2*IF(AF38&gt;0,AF38, 7)  + IF(AG38&gt;0,AG38, 51) + IF(AI38&gt;0,AI38, 9) +  IF(AH38&gt;0,AH38, 101) + 0.75*IF(AJ38&gt;0,AJ38, 101)), 99)</f>
        <v>308.5</v>
      </c>
      <c r="AB38" s="14">
        <v>34</v>
      </c>
      <c r="AE38" s="14">
        <v>31</v>
      </c>
      <c r="AF38" s="14">
        <v>5</v>
      </c>
      <c r="AG38" s="14">
        <v>30</v>
      </c>
      <c r="AH38" s="14">
        <v>31</v>
      </c>
      <c r="AI38" s="14">
        <v>5</v>
      </c>
      <c r="AJ38" s="14">
        <v>30</v>
      </c>
      <c r="AK38" s="2" t="str">
        <f>IFERROR(INDEX(measureables!$A:$J,MATCH($A38,measureables!$A:$A,FALSE),7), "")</f>
        <v>6'3.5''</v>
      </c>
      <c r="AL38" s="2">
        <f>IFERROR(INDEX(measureables!$A:$J,MATCH($A38,measureables!$A:$A,FALSE),9), "")</f>
        <v>169</v>
      </c>
      <c r="AM38" s="2" t="str">
        <f>IFERROR(INDEX(measureables!$A:$J,MATCH($A38,measureables!$A:$A,FALSE),10), "")</f>
        <v>6'9.25''</v>
      </c>
      <c r="AN38" s="2" t="str">
        <f>IFERROR(INDEX(measureables!$A:$J,MATCH($A38,measureables!$A:$A,FALSE),8), "")</f>
        <v>8'5.5''</v>
      </c>
      <c r="AO38"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v>
      </c>
    </row>
    <row r="39" spans="1:41" ht="22" customHeight="1" x14ac:dyDescent="0.2">
      <c r="A39" t="s">
        <v>191</v>
      </c>
      <c r="B39" s="16" t="s">
        <v>325</v>
      </c>
      <c r="C39" s="3" t="s">
        <v>281</v>
      </c>
      <c r="D39" s="3" t="s">
        <v>262</v>
      </c>
      <c r="E39" s="10">
        <f>YEARFRAC(Y39, $E$2, 1)</f>
        <v>21.422349427575909</v>
      </c>
      <c r="F39" s="8">
        <f>IFERROR(LEFT(AK39,FIND("'",AK39)-1)*12+SUBSTITUTE(MID(AK39,FIND("'",AK39)+1,LEN(AK39)),"''",""), "")</f>
        <v>77</v>
      </c>
      <c r="G39" s="8">
        <f>AL39</f>
        <v>194.4</v>
      </c>
      <c r="H39" s="8">
        <f>IFERROR(LEFT(AM39,FIND("'",AM39)-1)*12+SUBSTITUTE(MID(AM39,FIND("'",AM39)+1,LEN(AM39)),"''",""), "")</f>
        <v>82.25</v>
      </c>
      <c r="I39" s="8">
        <f>IFERROR(LEFT(AN39,FIND("'",AN39)-1)*12+SUBSTITUTE(MID(AN39,FIND("'",AN39)+1,LEN(AN39)),"''",""), "")</f>
        <v>102</v>
      </c>
      <c r="J39" s="8" t="str">
        <f>IFERROR(IF(AND(H39-F39&gt;= 0, H39 &gt; 0), "+", ""),"") &amp; IFERROR(IF(AND(H39-F39&gt;= -5, H39 &gt; 0), H39-F39, ""),"")</f>
        <v>+5.25</v>
      </c>
      <c r="K39" s="10">
        <f>IF(F39&gt;0, IFERROR((H39-60)/(F39-60),""), "")</f>
        <v>1.3088235294117647</v>
      </c>
      <c r="M39" s="3" t="s">
        <v>428</v>
      </c>
      <c r="N39" s="3" t="s">
        <v>427</v>
      </c>
      <c r="Q39" s="7">
        <v>42</v>
      </c>
      <c r="R39" s="3">
        <f>ROW()-2</f>
        <v>37</v>
      </c>
      <c r="S39" s="8">
        <f>IF(Q39=Q38,S38, MAX(S$2:S38)+1)</f>
        <v>7</v>
      </c>
      <c r="T39" s="8">
        <f>IFERROR(INDEX(actual!A:A,MATCH(A39,actual!B:B,FALSE)), "")</f>
        <v>38</v>
      </c>
      <c r="U39" s="8" t="str">
        <f>IFERROR(INDEX(actual!C:C,MATCH(A39,actual!B:B,FALSE)), "")</f>
        <v>CHI</v>
      </c>
      <c r="V39" s="4" t="str">
        <f>HYPERLINK(IF(D39="", "https://www.basketball-reference.com/international", "https://www.sports-reference.com/cbb") &amp; "/players/" &amp; LOWER(SUBSTITUTE(A39, " ", "-") &amp; "-1.html"))</f>
        <v>https://www.sports-reference.com/cbb/players/ayo-dosunmu-1.html</v>
      </c>
      <c r="W39" s="4" t="str">
        <f>HYPERLINK("https://www.nbadraft.net/players/" &amp; LOWER(SUBSTITUTE(A39, " ", "-") &amp; ""))</f>
        <v>https://www.nbadraft.net/players/ayo-dosunmu</v>
      </c>
      <c r="X39" s="18" t="str">
        <f>HYPERLINK("https://www.nba.com/draft/2021/prospects/" &amp; LOWER(SUBSTITUTE(A39, " ", "-") &amp; ""))</f>
        <v>https://www.nba.com/draft/2021/prospects/ayo-dosunmu</v>
      </c>
      <c r="Y39" s="11">
        <v>36542</v>
      </c>
      <c r="Z39" s="14">
        <f>RANK(AA39,AA:AA,1)</f>
        <v>33</v>
      </c>
      <c r="AA39" s="13">
        <f>IFERROR( (3*IF(AB39&gt;0,AB39, 76) + 2*IF(AC39&gt;0,AC39, 18) + 2*IF(AD39&gt;0,AD39, 5) + 2*IF(AE39&gt;0,AE39, 70) + 2*IF(AF39&gt;0,AF39, 7)  + IF(AG39&gt;0,AG39, 51) + IF(AI39&gt;0,AI39, 9) +  IF(AH39&gt;0,AH39, 101) + 0.75*IF(AJ39&gt;0,AJ39, 101)), 99)</f>
        <v>335.5</v>
      </c>
      <c r="AB39" s="14">
        <v>39</v>
      </c>
      <c r="AE39" s="14">
        <v>38</v>
      </c>
      <c r="AF39" s="14">
        <v>5</v>
      </c>
      <c r="AG39" s="14">
        <v>33</v>
      </c>
      <c r="AH39" s="14">
        <v>23</v>
      </c>
      <c r="AI39" s="14">
        <v>5</v>
      </c>
      <c r="AJ39" s="14">
        <v>34</v>
      </c>
      <c r="AK39" s="2" t="str">
        <f>IFERROR(INDEX(measureables!$A:$J,MATCH($A39,measureables!$A:$A,FALSE),7), "")</f>
        <v>6'5.0''</v>
      </c>
      <c r="AL39" s="2">
        <f>IFERROR(INDEX(measureables!$A:$J,MATCH($A39,measureables!$A:$A,FALSE),9), "")</f>
        <v>194.4</v>
      </c>
      <c r="AM39" s="2" t="str">
        <f>IFERROR(INDEX(measureables!$A:$J,MATCH($A39,measureables!$A:$A,FALSE),10), "")</f>
        <v>6'10.25''</v>
      </c>
      <c r="AN39" s="2" t="str">
        <f>IFERROR(INDEX(measureables!$A:$J,MATCH($A39,measureables!$A:$A,FALSE),8), "")</f>
        <v>8'6.0''</v>
      </c>
      <c r="AO39"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v>
      </c>
    </row>
    <row r="40" spans="1:41" ht="22" customHeight="1" x14ac:dyDescent="0.2">
      <c r="A40" t="s">
        <v>168</v>
      </c>
      <c r="B40" s="16" t="s">
        <v>14</v>
      </c>
      <c r="C40" s="3" t="s">
        <v>285</v>
      </c>
      <c r="D40" s="3" t="s">
        <v>262</v>
      </c>
      <c r="E40" s="10">
        <f>YEARFRAC(Y40, $E$2, 1)</f>
        <v>21.806332579454828</v>
      </c>
      <c r="F40" s="8">
        <f>IFERROR(LEFT(AK40,FIND("'",AK40)-1)*12+SUBSTITUTE(MID(AK40,FIND("'",AK40)+1,LEN(AK40)),"''",""), "")</f>
        <v>78</v>
      </c>
      <c r="G40" s="8">
        <f>AL40</f>
        <v>209.6</v>
      </c>
      <c r="H40" s="8">
        <f>IFERROR(LEFT(AM40,FIND("'",AM40)-1)*12+SUBSTITUTE(MID(AM40,FIND("'",AM40)+1,LEN(AM40)),"''",""), "")</f>
        <v>82.75</v>
      </c>
      <c r="I40" s="8">
        <f>IFERROR(LEFT(AN40,FIND("'",AN40)-1)*12+SUBSTITUTE(MID(AN40,FIND("'",AN40)+1,LEN(AN40)),"''",""), "")</f>
        <v>103.5</v>
      </c>
      <c r="J40" s="8" t="str">
        <f>IFERROR(IF(AND(H40-F40&gt;= 0, H40 &gt; 0), "+", ""),"") &amp; IFERROR(IF(AND(H40-F40&gt;= -5, H40 &gt; 0), H40-F40, ""),"")</f>
        <v>+4.75</v>
      </c>
      <c r="K40" s="10">
        <f>IF(F40&gt;0, IFERROR((H40-60)/(F40-60),""), "")</f>
        <v>1.2638888888888888</v>
      </c>
      <c r="M40" s="3" t="s">
        <v>437</v>
      </c>
      <c r="N40" s="3" t="s">
        <v>322</v>
      </c>
      <c r="Q40" s="7">
        <v>42</v>
      </c>
      <c r="R40" s="3">
        <f>ROW()-2</f>
        <v>38</v>
      </c>
      <c r="S40" s="8">
        <f>IF(Q40=Q39,S39, MAX(S$2:S39)+1)</f>
        <v>7</v>
      </c>
      <c r="T40" s="8" t="str">
        <f>IFERROR(INDEX(actual!A:A,MATCH(A40,actual!B:B,FALSE)), "")</f>
        <v/>
      </c>
      <c r="U40" s="8" t="str">
        <f>IFERROR(INDEX(actual!C:C,MATCH(A40,actual!B:B,FALSE)), "")</f>
        <v/>
      </c>
      <c r="V40" s="4" t="str">
        <f>HYPERLINK(IF(D40="", "https://www.basketball-reference.com/international", "https://www.sports-reference.com/cbb") &amp; "/players/" &amp; LOWER(SUBSTITUTE(A40, " ", "-") &amp; "-1.html"))</f>
        <v>https://www.sports-reference.com/cbb/players/aaron-henry-1.html</v>
      </c>
      <c r="W40" s="4" t="str">
        <f>HYPERLINK("https://www.nbadraft.net/players/" &amp; LOWER(SUBSTITUTE(A40, " ", "-") &amp; ""))</f>
        <v>https://www.nbadraft.net/players/aaron-henry</v>
      </c>
      <c r="X40" s="18" t="str">
        <f>HYPERLINK("https://www.nba.com/draft/2021/prospects/" &amp; LOWER(SUBSTITUTE(A40, " ", "-") &amp; ""))</f>
        <v>https://www.nba.com/draft/2021/prospects/aaron-henry</v>
      </c>
      <c r="Y40" s="11">
        <v>36402</v>
      </c>
      <c r="Z40" s="14">
        <f>RANK(AA40,AA:AA,1)</f>
        <v>38</v>
      </c>
      <c r="AA40" s="13">
        <f>IFERROR( (3*IF(AB40&gt;0,AB40, 76) + 2*IF(AC40&gt;0,AC40, 18) + 2*IF(AD40&gt;0,AD40, 5) + 2*IF(AE40&gt;0,AE40, 70) + 2*IF(AF40&gt;0,AF40, 7)  + IF(AG40&gt;0,AG40, 51) + IF(AI40&gt;0,AI40, 9) +  IF(AH40&gt;0,AH40, 101) + 0.75*IF(AJ40&gt;0,AJ40, 101)), 99)</f>
        <v>367.5</v>
      </c>
      <c r="AB40" s="14">
        <v>25</v>
      </c>
      <c r="AE40" s="14">
        <v>43</v>
      </c>
      <c r="AF40" s="14">
        <v>5</v>
      </c>
      <c r="AH40" s="14">
        <v>56</v>
      </c>
      <c r="AI40" s="14">
        <v>6</v>
      </c>
      <c r="AJ40" s="14">
        <v>50</v>
      </c>
      <c r="AK40" s="2" t="str">
        <f>IFERROR(INDEX(measureables!$A:$J,MATCH($A40,measureables!$A:$A,FALSE),7), "")</f>
        <v>6'6.0''</v>
      </c>
      <c r="AL40" s="2">
        <f>IFERROR(INDEX(measureables!$A:$J,MATCH($A40,measureables!$A:$A,FALSE),9), "")</f>
        <v>209.6</v>
      </c>
      <c r="AM40" s="2" t="str">
        <f>IFERROR(INDEX(measureables!$A:$J,MATCH($A40,measureables!$A:$A,FALSE),10), "")</f>
        <v>6'10.75''</v>
      </c>
      <c r="AN40" s="2" t="str">
        <f>IFERROR(INDEX(measureables!$A:$J,MATCH($A40,measureables!$A:$A,FALSE),8), "")</f>
        <v>8'7.5''</v>
      </c>
      <c r="AO40"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v>
      </c>
    </row>
    <row r="41" spans="1:41" ht="22" customHeight="1" x14ac:dyDescent="0.2">
      <c r="A41" t="s">
        <v>205</v>
      </c>
      <c r="B41" s="16" t="s">
        <v>325</v>
      </c>
      <c r="C41" s="3" t="s">
        <v>282</v>
      </c>
      <c r="D41" s="3" t="s">
        <v>262</v>
      </c>
      <c r="E41" s="10">
        <f>YEARFRAC(Y41, $E$2, 1)</f>
        <v>21.825496964647066</v>
      </c>
      <c r="F41" s="8">
        <f>IFERROR(LEFT(AK41,FIND("'",AK41)-1)*12+SUBSTITUTE(MID(AK41,FIND("'",AK41)+1,LEN(AK41)),"''",""), "")</f>
        <v>79.25</v>
      </c>
      <c r="G41" s="8">
        <f>AL41</f>
        <v>204.8</v>
      </c>
      <c r="H41" s="8">
        <f>IFERROR(LEFT(AM41,FIND("'",AM41)-1)*12+SUBSTITUTE(MID(AM41,FIND("'",AM41)+1,LEN(AM41)),"''",""), "")</f>
        <v>83</v>
      </c>
      <c r="I41" s="8">
        <f>IFERROR(LEFT(AN41,FIND("'",AN41)-1)*12+SUBSTITUTE(MID(AN41,FIND("'",AN41)+1,LEN(AN41)),"''",""), "")</f>
        <v>103</v>
      </c>
      <c r="J41" s="8" t="str">
        <f>IFERROR(IF(AND(H41-F41&gt;= 0, H41 &gt; 0), "+", ""),"") &amp; IFERROR(IF(AND(H41-F41&gt;= -5, H41 &gt; 0), H41-F41, ""),"")</f>
        <v>+3.75</v>
      </c>
      <c r="K41" s="10">
        <f>IF(F41&gt;0, IFERROR((H41-60)/(F41-60),""), "")</f>
        <v>1.1948051948051948</v>
      </c>
      <c r="M41" s="3" t="s">
        <v>429</v>
      </c>
      <c r="N41" s="3" t="s">
        <v>430</v>
      </c>
      <c r="Q41" s="7">
        <v>42</v>
      </c>
      <c r="R41" s="3">
        <f>ROW()-2</f>
        <v>39</v>
      </c>
      <c r="S41" s="8">
        <f>IF(Q41=Q40,S40, MAX(S$2:S40)+1)</f>
        <v>7</v>
      </c>
      <c r="T41" s="8">
        <f>IFERROR(INDEX(actual!A:A,MATCH(A41,actual!B:B,FALSE)), "")</f>
        <v>41</v>
      </c>
      <c r="U41" s="8" t="str">
        <f>IFERROR(INDEX(actual!C:C,MATCH(A41,actual!B:B,FALSE)), "")</f>
        <v>SAS</v>
      </c>
      <c r="V41" s="4" t="str">
        <f>HYPERLINK(IF(D41="", "https://www.basketball-reference.com/international", "https://www.sports-reference.com/cbb") &amp; "/players/" &amp; LOWER(SUBSTITUTE(A41, " ", "-") &amp; "-1.html"))</f>
        <v>https://www.sports-reference.com/cbb/players/joe-wieskamp-1.html</v>
      </c>
      <c r="W41" s="4" t="str">
        <f>HYPERLINK("https://www.nbadraft.net/players/" &amp; LOWER(SUBSTITUTE(A41, " ", "-") &amp; ""))</f>
        <v>https://www.nbadraft.net/players/joe-wieskamp</v>
      </c>
      <c r="X41" s="18" t="str">
        <f>HYPERLINK("https://www.nba.com/draft/2021/prospects/" &amp; LOWER(SUBSTITUTE(A41, " ", "-") &amp; ""))</f>
        <v>https://www.nba.com/draft/2021/prospects/joe-wieskamp</v>
      </c>
      <c r="Y41" s="11">
        <v>36395</v>
      </c>
      <c r="Z41" s="14">
        <f>RANK(AA41,AA:AA,1)</f>
        <v>34</v>
      </c>
      <c r="AA41" s="13">
        <f>IFERROR( (3*IF(AB41&gt;0,AB41, 76) + 2*IF(AC41&gt;0,AC41, 18) + 2*IF(AD41&gt;0,AD41, 5) + 2*IF(AE41&gt;0,AE41, 70) + 2*IF(AF41&gt;0,AF41, 7)  + IF(AG41&gt;0,AG41, 51) + IF(AI41&gt;0,AI41, 9) +  IF(AH41&gt;0,AH41, 101) + 0.75*IF(AJ41&gt;0,AJ41, 101)), 99)</f>
        <v>338</v>
      </c>
      <c r="AB41" s="14">
        <v>36</v>
      </c>
      <c r="AE41" s="14">
        <v>28</v>
      </c>
      <c r="AF41" s="14">
        <v>5</v>
      </c>
      <c r="AG41" s="14">
        <v>39</v>
      </c>
      <c r="AH41" s="14">
        <v>35</v>
      </c>
      <c r="AI41" s="14">
        <v>5</v>
      </c>
      <c r="AJ41" s="14">
        <v>52</v>
      </c>
      <c r="AK41" s="2" t="str">
        <f>IFERROR(INDEX(measureables!$A:$J,MATCH($A41,measureables!$A:$A,FALSE),7), "")</f>
        <v>6'7.25''</v>
      </c>
      <c r="AL41" s="2">
        <f>IFERROR(INDEX(measureables!$A:$J,MATCH($A41,measureables!$A:$A,FALSE),9), "")</f>
        <v>204.8</v>
      </c>
      <c r="AM41" s="2" t="str">
        <f>IFERROR(INDEX(measureables!$A:$J,MATCH($A41,measureables!$A:$A,FALSE),10), "")</f>
        <v>6'11.0''</v>
      </c>
      <c r="AN41" s="2" t="str">
        <f>IFERROR(INDEX(measureables!$A:$J,MATCH($A41,measureables!$A:$A,FALSE),8), "")</f>
        <v>8'7.0''</v>
      </c>
      <c r="AO41" t="str">
        <f t="shared" si="0"/>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v>
      </c>
    </row>
    <row r="42" spans="1:41" ht="22" customHeight="1" x14ac:dyDescent="0.2">
      <c r="A42" t="s">
        <v>178</v>
      </c>
      <c r="B42" s="16" t="s">
        <v>15</v>
      </c>
      <c r="C42" s="3" t="s">
        <v>283</v>
      </c>
      <c r="D42" s="3" t="s">
        <v>262</v>
      </c>
      <c r="E42" s="10">
        <f>YEARFRAC(Y42, $E$2, 1)</f>
        <v>21.861087965718369</v>
      </c>
      <c r="F42" s="8">
        <f>IFERROR(LEFT(AK42,FIND("'",AK42)-1)*12+SUBSTITUTE(MID(AK42,FIND("'",AK42)+1,LEN(AK42)),"''",""), "")</f>
        <v>76</v>
      </c>
      <c r="G42" s="8">
        <f>AL42</f>
        <v>180.6</v>
      </c>
      <c r="H42" s="8">
        <f>IFERROR(LEFT(AM42,FIND("'",AM42)-1)*12+SUBSTITUTE(MID(AM42,FIND("'",AM42)+1,LEN(AM42)),"''",""), "")</f>
        <v>80.5</v>
      </c>
      <c r="I42" s="8">
        <f>IFERROR(LEFT(AN42,FIND("'",AN42)-1)*12+SUBSTITUTE(MID(AN42,FIND("'",AN42)+1,LEN(AN42)),"''",""), "")</f>
        <v>100.5</v>
      </c>
      <c r="J42" s="8" t="str">
        <f>IFERROR(IF(AND(H42-F42&gt;= 0, H42 &gt; 0), "+", ""),"") &amp; IFERROR(IF(AND(H42-F42&gt;= -5, H42 &gt; 0), H42-F42, ""),"")</f>
        <v>+4.5</v>
      </c>
      <c r="K42" s="10">
        <f>IF(F42&gt;0, IFERROR((H42-60)/(F42-60),""), "")</f>
        <v>1.28125</v>
      </c>
      <c r="M42" s="3" t="s">
        <v>434</v>
      </c>
      <c r="N42" s="3" t="s">
        <v>433</v>
      </c>
      <c r="Q42" s="7">
        <v>42</v>
      </c>
      <c r="R42" s="3">
        <f>ROW()-2</f>
        <v>40</v>
      </c>
      <c r="S42" s="8">
        <f>IF(Q42=Q41,S41, MAX(S$2:S41)+1)</f>
        <v>7</v>
      </c>
      <c r="T42" s="8">
        <f>IFERROR(INDEX(actual!A:A,MATCH(A42,actual!B:B,FALSE)), "")</f>
        <v>33</v>
      </c>
      <c r="U42" s="8" t="str">
        <f>IFERROR(INDEX(actual!C:C,MATCH(A42,actual!B:B,FALSE)), "")</f>
        <v>LAC</v>
      </c>
      <c r="V42" s="4" t="str">
        <f>HYPERLINK(IF(D42="", "https://www.basketball-reference.com/international", "https://www.sports-reference.com/cbb") &amp; "/players/" &amp; LOWER(SUBSTITUTE(A42, " ", "-") &amp; "-1.html"))</f>
        <v>https://www.sports-reference.com/cbb/players/jason-preston-1.html</v>
      </c>
      <c r="W42" s="4" t="str">
        <f>HYPERLINK("https://www.nbadraft.net/players/" &amp; LOWER(SUBSTITUTE(A42, " ", "-") &amp; ""))</f>
        <v>https://www.nbadraft.net/players/jason-preston</v>
      </c>
      <c r="X42" s="18" t="str">
        <f>HYPERLINK("https://www.nba.com/draft/2021/prospects/" &amp; LOWER(SUBSTITUTE(A42, " ", "-") &amp; ""))</f>
        <v>https://www.nba.com/draft/2021/prospects/jason-preston</v>
      </c>
      <c r="Y42" s="11">
        <v>36382</v>
      </c>
      <c r="Z42" s="14">
        <f>RANK(AA42,AA:AA,1)</f>
        <v>36</v>
      </c>
      <c r="AA42" s="13">
        <f>IFERROR( (3*IF(AB42&gt;0,AB42, 76) + 2*IF(AC42&gt;0,AC42, 18) + 2*IF(AD42&gt;0,AD42, 5) + 2*IF(AE42&gt;0,AE42, 70) + 2*IF(AF42&gt;0,AF42, 7)  + IF(AG42&gt;0,AG42, 51) + IF(AI42&gt;0,AI42, 9) +  IF(AH42&gt;0,AH42, 101) + 0.75*IF(AJ42&gt;0,AJ42, 101)), 99)</f>
        <v>356.75</v>
      </c>
      <c r="AB42" s="14">
        <v>24</v>
      </c>
      <c r="AE42" s="14">
        <v>52</v>
      </c>
      <c r="AF42" s="14">
        <v>6</v>
      </c>
      <c r="AG42" s="14">
        <v>38</v>
      </c>
      <c r="AH42" s="14">
        <v>48</v>
      </c>
      <c r="AI42" s="14">
        <v>6</v>
      </c>
      <c r="AJ42" s="14">
        <v>41</v>
      </c>
      <c r="AK42" s="2" t="str">
        <f>IFERROR(INDEX(measureables!$A:$J,MATCH($A42,measureables!$A:$A,FALSE),7), "")</f>
        <v>6'4.0''</v>
      </c>
      <c r="AL42" s="2">
        <f>IFERROR(INDEX(measureables!$A:$J,MATCH($A42,measureables!$A:$A,FALSE),9), "")</f>
        <v>180.6</v>
      </c>
      <c r="AM42" s="2" t="str">
        <f>IFERROR(INDEX(measureables!$A:$J,MATCH($A42,measureables!$A:$A,FALSE),10), "")</f>
        <v>6'8.5''</v>
      </c>
      <c r="AN42" s="2" t="str">
        <f>IFERROR(INDEX(measureables!$A:$J,MATCH($A42,measureables!$A:$A,FALSE),8), "")</f>
        <v>8'4.5''</v>
      </c>
      <c r="AO42" t="str">
        <f>IF(R42="", "", AO41
&amp; IF(S42=S41, "", IF(S42=1, "
&lt;!-- rankings --&gt;
  ", "
  &lt;/ol&gt;
  "
)
&amp;
"&lt;h2&gt; Tier "
&amp; S42
&amp; " (~"
&amp; IF(MOD(Q42, 5)=0, Q42, FLOOR(Q42, 5) &amp; "+")
&amp; " FV)&lt;/h2&gt;
  &lt;ol start='"
&amp; R42
&amp; " '&gt;
  "
)
&amp;
"  &lt;li&gt;&lt;b&gt;&lt;a 
    target='_blank' href='"
&amp; X42
&amp; "'&gt;"
&amp; A42
&amp; "&lt;/a&gt;&lt;/b&gt;
    - &lt;i&gt;
    &lt;a target='_blank' href='"
&amp; W42
&amp; "'&gt;"
&amp; B42
&amp; " &lt;/a&gt;&lt;/b&gt;
    - 
    &lt;a target='_blank'href='"
&amp; V42
&amp; "'&gt;"
&amp; C42
&amp; "&lt;/a&gt;&lt;/b&gt; &lt;/i&gt;&lt;/li&gt;
  &lt;ul style='list-style-type:none'&gt;"
&amp; IF(D42 &lt;&gt; "", "
    &lt;li&gt;Grade: " &amp; D42 &amp; " &lt;/li&gt;", "")
&amp; IF(E42 &lt;&gt; "", "
    &lt;li&gt;Age: " &amp; ROUND(E42,1) &amp; " &lt;/li&gt;", "")
&amp; IF(F42 &lt;&gt; "", "
    &lt;li&gt;Height: " &amp; F42 &amp; " in &lt;/li&gt;", "")
&amp; IF(G42 &lt;&gt; "", "
    &lt;li&gt;Weight: " &amp; G42 &amp; " lbs &lt;/li&gt;", "")
&amp; IF(H42 &lt;&gt; "", "
    &lt;li&gt;Wingspan: " &amp; H42 &amp; " in &lt;/li&gt;", "")
&amp; IF(I42 &lt;&gt; "", "
    &lt;li&gt;Reach: " &amp; I42 &amp; " in &lt;/li&gt;", "")
&amp; IF(J42 &lt;&gt; "", "
    &lt;li&gt;Ape: " &amp; J42 &amp; " &lt;/li&gt;", "")
&amp; IF(L42 &lt;&gt; "", "
    &lt;li&gt;++: " &amp; L42 &amp; " &lt;/li&gt;", "")
&amp; IF(M42 &lt;&gt; "", "
    &lt;li&gt;+: " &amp; M42 &amp; " &lt;/li&gt;", "")
&amp; IF(N42 &lt;&gt; "", "
    &lt;li&gt;-: " &amp; N42 &amp; " &lt;/li&gt;", "")
&amp; IF(O42 &lt;&gt; "", "
    &lt;li&gt;--: " &amp; O42 &amp; " &lt;/li&gt;", "")
&amp; IF(P42 &lt;&gt; "", "
    &lt;li&gt;Additional Notes: " &amp; P42 &amp; " &lt;/li&gt;", "")
&amp; "
  &lt;/ul&gt;
  &lt;br&gt;"
&amp; IF(S43="", "
  &lt;/ol&gt;
&lt;!-- # end of rankings --&gt;
", "")
)</f>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v>
      </c>
    </row>
    <row r="43" spans="1:41" ht="22" customHeight="1" x14ac:dyDescent="0.2">
      <c r="A43" t="s">
        <v>233</v>
      </c>
      <c r="B43" s="16" t="s">
        <v>367</v>
      </c>
      <c r="C43" s="3" t="s">
        <v>300</v>
      </c>
      <c r="E43" s="10">
        <f>YEARFRAC(Y43, $E$2, 1)</f>
        <v>18.869267624914443</v>
      </c>
      <c r="F43" s="8">
        <f>IFERROR(LEFT(AK43,FIND("'",AK43)-1)*12+SUBSTITUTE(MID(AK43,FIND("'",AK43)+1,LEN(AK43)),"''",""), "")</f>
        <v>77</v>
      </c>
      <c r="G43" s="8">
        <f>AL43</f>
        <v>192</v>
      </c>
      <c r="H43" s="8" t="str">
        <f>IFERROR(LEFT(AM43,FIND("'",AM43)-1)*12+SUBSTITUTE(MID(AM43,FIND("'",AM43)+1,LEN(AM43)),"''",""), "")</f>
        <v/>
      </c>
      <c r="I43" s="8" t="str">
        <f>IFERROR(LEFT(AN43,FIND("'",AN43)-1)*12+SUBSTITUTE(MID(AN43,FIND("'",AN43)+1,LEN(AN43)),"''",""), "")</f>
        <v/>
      </c>
      <c r="J43" s="8" t="str">
        <f>IFERROR(IF(AND(H43-F43&gt;= 0, H43 &gt; 0), "+", ""),"") &amp; IFERROR(IF(AND(H43-F43&gt;= -5, H43 &gt; 0), H43-F43, ""),"")</f>
        <v/>
      </c>
      <c r="K43" s="10" t="str">
        <f>IF(F43&gt;0, IFERROR((H43-60)/(F43-60),""), "")</f>
        <v/>
      </c>
      <c r="Q43" s="7">
        <v>0</v>
      </c>
      <c r="R43" s="3" t="s">
        <v>443</v>
      </c>
      <c r="S43" s="8">
        <f>IF(Q43=Q42,S42, MAX(S$2:S42)+1)</f>
        <v>8</v>
      </c>
      <c r="T43" s="8">
        <f>IFERROR(INDEX(actual!A:A,MATCH(A43,actual!B:B,FALSE)), "")</f>
        <v>45</v>
      </c>
      <c r="U43" s="8" t="str">
        <f>IFERROR(INDEX(actual!C:C,MATCH(A43,actual!B:B,FALSE)), "")</f>
        <v>BOS</v>
      </c>
      <c r="V43" s="17"/>
      <c r="W43" s="4" t="str">
        <f>HYPERLINK("https://www.nbadraft.net/players/" &amp; LOWER(SUBSTITUTE(A43, " ", "-") &amp; ""))</f>
        <v>https://www.nbadraft.net/players/juhann-begarin</v>
      </c>
      <c r="X43" s="18" t="str">
        <f>HYPERLINK("https://www.nba.com/draft/2021/prospects/" &amp; LOWER(SUBSTITUTE(A43, " ", "-") &amp; ""))</f>
        <v>https://www.nba.com/draft/2021/prospects/juhann-begarin</v>
      </c>
      <c r="Y43" s="11">
        <v>37475</v>
      </c>
      <c r="Z43" s="14">
        <f>RANK(AA43,AA:AA,1)</f>
        <v>57</v>
      </c>
      <c r="AA43" s="13">
        <f>IFERROR( (3*IF(AB43&gt;0,AB43, 76) + 2*IF(AC43&gt;0,AC43, 18) + 2*IF(AD43&gt;0,AD43, 5) + 2*IF(AE43&gt;0,AE43, 70) + 2*IF(AF43&gt;0,AF43, 7)  + IF(AG43&gt;0,AG43, 51) + IF(AI43&gt;0,AI43, 9) +  IF(AH43&gt;0,AH43, 101) + 0.75*IF(AJ43&gt;0,AJ43, 101)), 99)</f>
        <v>509</v>
      </c>
      <c r="AB43" s="14">
        <v>58</v>
      </c>
      <c r="AG43" s="14">
        <v>48</v>
      </c>
      <c r="AH43" s="14">
        <v>54</v>
      </c>
      <c r="AI43" s="14">
        <v>6</v>
      </c>
      <c r="AJ43" s="14">
        <v>36</v>
      </c>
      <c r="AK43" s="2" t="str">
        <f>IFERROR(INDEX(measureables!$A:$J,MATCH($A43,measureables!$A:$A,FALSE),7), "")</f>
        <v>6'5</v>
      </c>
      <c r="AL43" s="2">
        <f>IFERROR(INDEX(measureables!$A:$J,MATCH($A43,measureables!$A:$A,FALSE),9), "")</f>
        <v>192</v>
      </c>
      <c r="AM43" s="2">
        <f>IFERROR(INDEX(measureables!$A:$J,MATCH($A43,measureables!$A:$A,FALSE),10), "")</f>
        <v>0</v>
      </c>
      <c r="AN43" s="2">
        <f>IFERROR(INDEX(measureables!$A:$J,MATCH($A43,measureables!$A:$A,FALSE),8), "")</f>
        <v>0</v>
      </c>
      <c r="AO43" t="str">
        <f t="shared" ref="AO43:AO80" si="1">IF(R43="", "", AO42
&amp; IF(S43=S42, "", IF(S43=1, "
&lt;!-- rankings --&gt;
  ", "
  &lt;/ol&gt;
  "
)
&amp;
"&lt;h2&gt; Tier "
&amp; S43
&amp; " (~"
&amp; IF(MOD(Q43, 5)=0, Q43, FLOOR(Q43, 5) &amp; "+")
&amp; " FV)&lt;/h2&gt;
  &lt;ol start='"
&amp; R43
&amp; " '&gt;
  "
)
&amp;
"  &lt;li&gt;&lt;b&gt;&lt;a 
    target='_blank' href='"
&amp; X43
&amp; "'&gt;"
&amp; A43
&amp; "&lt;/a&gt;&lt;/b&gt;
    - &lt;i&gt;
    &lt;a target='_blank' href='"
&amp; W43
&amp; "'&gt;"
&amp; B43
&amp; " &lt;/a&gt;&lt;/b&gt;
    - 
    &lt;a target='_blank'href='"
&amp; V43
&amp; "'&gt;"
&amp; C43
&amp; "&lt;/a&gt;&lt;/b&gt; &lt;/i&gt;&lt;/li&gt;
  &lt;ul style='list-style-type:none'&gt;"
&amp; IF(D43 &lt;&gt; "", "
    &lt;li&gt;Grade: " &amp; D43 &amp; " &lt;/li&gt;", "")
&amp; IF(E43 &lt;&gt; "", "
    &lt;li&gt;Age: " &amp; ROUND(E43,1) &amp; " &lt;/li&gt;", "")
&amp; IF(F43 &lt;&gt; "", "
    &lt;li&gt;Height: " &amp; F43 &amp; " in &lt;/li&gt;", "")
&amp; IF(G43 &lt;&gt; "", "
    &lt;li&gt;Weight: " &amp; G43 &amp; " lbs &lt;/li&gt;", "")
&amp; IF(H43 &lt;&gt; "", "
    &lt;li&gt;Wingspan: " &amp; H43 &amp; " in &lt;/li&gt;", "")
&amp; IF(I43 &lt;&gt; "", "
    &lt;li&gt;Reach: " &amp; I43 &amp; " in &lt;/li&gt;", "")
&amp; IF(J43 &lt;&gt; "", "
    &lt;li&gt;Ape: " &amp; J43 &amp; " &lt;/li&gt;", "")
&amp; IF(L43 &lt;&gt; "", "
    &lt;li&gt;++: " &amp; L43 &amp; " &lt;/li&gt;", "")
&amp; IF(M43 &lt;&gt; "", "
    &lt;li&gt;+: " &amp; M43 &amp; " &lt;/li&gt;", "")
&amp; IF(N43 &lt;&gt; "", "
    &lt;li&gt;-: " &amp; N43 &amp; " &lt;/li&gt;", "")
&amp; IF(O43 &lt;&gt; "", "
    &lt;li&gt;--: " &amp; O43 &amp; " &lt;/li&gt;", "")
&amp; IF(P43 &lt;&gt; "", "
    &lt;li&gt;Additional Notes: " &amp; P43 &amp; " &lt;/li&gt;", "")
&amp; "
  &lt;/ul&gt;
  &lt;br&gt;"
&amp; IF(S44="", "
  &lt;/ol&gt;
&lt;!-- # end of rankings --&gt;
", "")
)</f>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v>
      </c>
    </row>
    <row r="44" spans="1:41" ht="22" customHeight="1" x14ac:dyDescent="0.2">
      <c r="A44" t="s">
        <v>70</v>
      </c>
      <c r="B44" s="16" t="s">
        <v>15</v>
      </c>
      <c r="C44" s="3" t="s">
        <v>253</v>
      </c>
      <c r="E44" s="10">
        <f>YEARFRAC(Y44, $E$2, 1)</f>
        <v>19.348391512662559</v>
      </c>
      <c r="F44" s="8">
        <f>IFERROR(LEFT(AK44,FIND("'",AK44)-1)*12+SUBSTITUTE(MID(AK44,FIND("'",AK44)+1,LEN(AK44)),"''",""), "")</f>
        <v>76.25</v>
      </c>
      <c r="G44" s="8">
        <f>AL44</f>
        <v>225.6</v>
      </c>
      <c r="H44" s="8">
        <f>IFERROR(LEFT(AM44,FIND("'",AM44)-1)*12+SUBSTITUTE(MID(AM44,FIND("'",AM44)+1,LEN(AM44)),"''",""), "")</f>
        <v>78.75</v>
      </c>
      <c r="I44" s="8">
        <f>IFERROR(LEFT(AN44,FIND("'",AN44)-1)*12+SUBSTITUTE(MID(AN44,FIND("'",AN44)+1,LEN(AN44)),"''",""), "")</f>
        <v>100</v>
      </c>
      <c r="J44" s="8" t="str">
        <f>IFERROR(IF(AND(H44-F44&gt;= 0, H44 &gt; 0), "+", ""),"") &amp; IFERROR(IF(AND(H44-F44&gt;= -5, H44 &gt; 0), H44-F44, ""),"")</f>
        <v>+2.5</v>
      </c>
      <c r="K44" s="10">
        <f>IF(F44&gt;0, IFERROR((H44-60)/(F44-60),""), "")</f>
        <v>1.1538461538461537</v>
      </c>
      <c r="Q44" s="7">
        <v>0</v>
      </c>
      <c r="R44" s="3" t="s">
        <v>443</v>
      </c>
      <c r="S44" s="8">
        <f>IF(Q44=Q43,S43, MAX(S$2:S43)+1)</f>
        <v>8</v>
      </c>
      <c r="T44" s="8" t="str">
        <f>IFERROR(INDEX(actual!A:A,MATCH(A44,actual!B:B,FALSE)), "")</f>
        <v/>
      </c>
      <c r="U44" s="8" t="str">
        <f>IFERROR(INDEX(actual!C:C,MATCH(A44,actual!B:B,FALSE)), "")</f>
        <v/>
      </c>
      <c r="V44" s="17" t="s">
        <v>450</v>
      </c>
      <c r="W44" s="4" t="str">
        <f>HYPERLINK("https://www.nbadraft.net/players/" &amp; LOWER(SUBSTITUTE(A44, " ", "-") &amp; ""))</f>
        <v>https://www.nbadraft.net/players/daishen-nix</v>
      </c>
      <c r="X44" s="18" t="str">
        <f>HYPERLINK("https://www.nba.com/draft/2021/prospects/" &amp; LOWER(SUBSTITUTE(A44, " ", "-") &amp; ""))</f>
        <v>https://www.nba.com/draft/2021/prospects/daishen-nix</v>
      </c>
      <c r="Y44" s="11">
        <v>37300</v>
      </c>
      <c r="Z44" s="14">
        <f>RANK(AA44,AA:AA,1)</f>
        <v>61</v>
      </c>
      <c r="AA44" s="13">
        <f>IFERROR( (3*IF(AB44&gt;0,AB44, 76) + 2*IF(AC44&gt;0,AC44, 18) + 2*IF(AD44&gt;0,AD44, 5) + 2*IF(AE44&gt;0,AE44, 70) + 2*IF(AF44&gt;0,AF44, 7)  + IF(AG44&gt;0,AG44, 51) + IF(AI44&gt;0,AI44, 9) +  IF(AH44&gt;0,AH44, 101) + 0.75*IF(AJ44&gt;0,AJ44, 101)), 99)</f>
        <v>522</v>
      </c>
      <c r="AB44" s="14">
        <v>67</v>
      </c>
      <c r="AE44" s="14">
        <v>51</v>
      </c>
      <c r="AF44" s="14">
        <v>6</v>
      </c>
      <c r="AG44" s="14">
        <v>45</v>
      </c>
      <c r="AH44" s="14">
        <v>79</v>
      </c>
      <c r="AI44" s="14">
        <v>7</v>
      </c>
      <c r="AJ44" s="14">
        <v>40</v>
      </c>
      <c r="AK44" s="2" t="str">
        <f>IFERROR(INDEX(measureables!$A:$J,MATCH($A44,measureables!$A:$A,FALSE),7), "")</f>
        <v>6'4.25''</v>
      </c>
      <c r="AL44" s="2">
        <f>IFERROR(INDEX(measureables!$A:$J,MATCH($A44,measureables!$A:$A,FALSE),9), "")</f>
        <v>225.6</v>
      </c>
      <c r="AM44" s="2" t="str">
        <f>IFERROR(INDEX(measureables!$A:$J,MATCH($A44,measureables!$A:$A,FALSE),10), "")</f>
        <v>6'6.75''</v>
      </c>
      <c r="AN44" s="2" t="str">
        <f>IFERROR(INDEX(measureables!$A:$J,MATCH($A44,measureables!$A:$A,FALSE),8), "")</f>
        <v>8'4.0''</v>
      </c>
      <c r="AO44"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v>
      </c>
    </row>
    <row r="45" spans="1:41" ht="22" customHeight="1" x14ac:dyDescent="0.2">
      <c r="A45" t="s">
        <v>215</v>
      </c>
      <c r="B45" s="16" t="s">
        <v>12</v>
      </c>
      <c r="C45" s="3" t="s">
        <v>287</v>
      </c>
      <c r="D45" s="3" t="s">
        <v>19</v>
      </c>
      <c r="E45" s="10">
        <f>YEARFRAC(Y45, $E$2, 1)</f>
        <v>19.620078226857888</v>
      </c>
      <c r="F45" s="8">
        <f>IFERROR(LEFT(AK45,FIND("'",AK45)-1)*12+SUBSTITUTE(MID(AK45,FIND("'",AK45)+1,LEN(AK45)),"''",""), "")</f>
        <v>83</v>
      </c>
      <c r="G45" s="8">
        <f>AL45</f>
        <v>265</v>
      </c>
      <c r="H45" s="8" t="str">
        <f>IFERROR(LEFT(AM45,FIND("'",AM45)-1)*12+SUBSTITUTE(MID(AM45,FIND("'",AM45)+1,LEN(AM45)),"''",""), "")</f>
        <v/>
      </c>
      <c r="I45" s="8" t="str">
        <f>IFERROR(LEFT(AN45,FIND("'",AN45)-1)*12+SUBSTITUTE(MID(AN45,FIND("'",AN45)+1,LEN(AN45)),"''",""), "")</f>
        <v/>
      </c>
      <c r="J45" s="8" t="str">
        <f>IFERROR(IF(AND(H45-F45&gt;= 0, H45 &gt; 0), "+", ""),"") &amp; IFERROR(IF(AND(H45-F45&gt;= -5, H45 &gt; 0), H45-F45, ""),"")</f>
        <v/>
      </c>
      <c r="K45" s="10" t="str">
        <f>IF(F45&gt;0, IFERROR((H45-60)/(F45-60),""), "")</f>
        <v/>
      </c>
      <c r="Q45" s="7">
        <v>0</v>
      </c>
      <c r="R45" s="3" t="s">
        <v>443</v>
      </c>
      <c r="S45" s="8">
        <f>IF(Q45=Q44,S44, MAX(S$2:S44)+1)</f>
        <v>8</v>
      </c>
      <c r="T45" s="8">
        <f>IFERROR(INDEX(actual!A:A,MATCH(A45,actual!B:B,FALSE)), "")</f>
        <v>29</v>
      </c>
      <c r="U45" s="8" t="str">
        <f>IFERROR(INDEX(actual!C:C,MATCH(A45,actual!B:B,FALSE)), "")</f>
        <v>PHX</v>
      </c>
      <c r="V45" s="17" t="s">
        <v>438</v>
      </c>
      <c r="W45" s="4" t="str">
        <f>HYPERLINK("https://www.nbadraft.net/players/" &amp; LOWER(SUBSTITUTE(A45, " ", "-") &amp; ""))</f>
        <v>https://www.nbadraft.net/players/day'ron-sharpe</v>
      </c>
      <c r="X45" s="17" t="s">
        <v>286</v>
      </c>
      <c r="Y45" s="11">
        <v>37201</v>
      </c>
      <c r="Z45" s="14">
        <f>RANK(AA45,AA:AA,1)</f>
        <v>39</v>
      </c>
      <c r="AA45" s="13">
        <f>IFERROR( (3*IF(AB45&gt;0,AB45, 76) + 2*IF(AC45&gt;0,AC45, 18) + 2*IF(AD45&gt;0,AD45, 5) + 2*IF(AE45&gt;0,AE45, 70) + 2*IF(AF45&gt;0,AF45, 7)  + IF(AG45&gt;0,AG45, 51) + IF(AI45&gt;0,AI45, 9) +  IF(AH45&gt;0,AH45, 101) + 0.75*IF(AJ45&gt;0,AJ45, 101)), 99)</f>
        <v>369.25</v>
      </c>
      <c r="AB45" s="14">
        <v>49</v>
      </c>
      <c r="AE45" s="14">
        <v>31</v>
      </c>
      <c r="AF45" s="14">
        <v>5</v>
      </c>
      <c r="AG45" s="14">
        <v>36</v>
      </c>
      <c r="AH45" s="14">
        <v>40</v>
      </c>
      <c r="AI45" s="14">
        <v>5</v>
      </c>
      <c r="AJ45" s="14">
        <v>31</v>
      </c>
      <c r="AK45" s="2" t="str">
        <f>IFERROR(INDEX(measureables!$A:$J,MATCH($A45,measureables!$A:$A,FALSE),7), "")</f>
        <v>6'11</v>
      </c>
      <c r="AL45" s="2">
        <f>IFERROR(INDEX(measureables!$A:$J,MATCH($A45,measureables!$A:$A,FALSE),9), "")</f>
        <v>265</v>
      </c>
      <c r="AM45" s="2">
        <f>IFERROR(INDEX(measureables!$A:$J,MATCH($A45,measureables!$A:$A,FALSE),10), "")</f>
        <v>0</v>
      </c>
      <c r="AN45" s="2">
        <f>IFERROR(INDEX(measureables!$A:$J,MATCH($A45,measureables!$A:$A,FALSE),8), "")</f>
        <v>0</v>
      </c>
      <c r="AO45"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v>
      </c>
    </row>
    <row r="46" spans="1:41" ht="22" customHeight="1" x14ac:dyDescent="0.2">
      <c r="A46" t="s">
        <v>190</v>
      </c>
      <c r="B46" s="16" t="s">
        <v>15</v>
      </c>
      <c r="C46" s="3" t="s">
        <v>259</v>
      </c>
      <c r="D46" s="3" t="s">
        <v>19</v>
      </c>
      <c r="E46" s="10">
        <f>YEARFRAC(Y46, $E$2, 1)</f>
        <v>19.715906127770534</v>
      </c>
      <c r="F46" s="8">
        <f>IFERROR(LEFT(AK46,FIND("'",AK46)-1)*12+SUBSTITUTE(MID(AK46,FIND("'",AK46)+1,LEN(AK46)),"''",""), "")</f>
        <v>73.75</v>
      </c>
      <c r="G46" s="8">
        <f>AL46</f>
        <v>162.19999999999999</v>
      </c>
      <c r="H46" s="8">
        <f>IFERROR(LEFT(AM46,FIND("'",AM46)-1)*12+SUBSTITUTE(MID(AM46,FIND("'",AM46)+1,LEN(AM46)),"''",""), "")</f>
        <v>79</v>
      </c>
      <c r="I46" s="8">
        <f>IFERROR(LEFT(AN46,FIND("'",AN46)-1)*12+SUBSTITUTE(MID(AN46,FIND("'",AN46)+1,LEN(AN46)),"''",""), "")</f>
        <v>98.5</v>
      </c>
      <c r="J46" s="8" t="str">
        <f>IFERROR(IF(AND(H46-F46&gt;= 0, H46 &gt; 0), "+", ""),"") &amp; IFERROR(IF(AND(H46-F46&gt;= -5, H46 &gt; 0), H46-F46, ""),"")</f>
        <v>+5.25</v>
      </c>
      <c r="K46" s="10">
        <f>IF(F46&gt;0, IFERROR((H46-60)/(F46-60),""), "")</f>
        <v>1.3818181818181818</v>
      </c>
      <c r="Q46" s="7">
        <v>0</v>
      </c>
      <c r="R46" s="3" t="s">
        <v>443</v>
      </c>
      <c r="S46" s="8">
        <f>IF(Q46=Q45,S45, MAX(S$2:S45)+1)</f>
        <v>8</v>
      </c>
      <c r="T46" s="8" t="str">
        <f>IFERROR(INDEX(actual!A:A,MATCH(A46,actual!B:B,FALSE)), "")</f>
        <v/>
      </c>
      <c r="U46" s="8" t="str">
        <f>IFERROR(INDEX(actual!C:C,MATCH(A46,actual!B:B,FALSE)), "")</f>
        <v/>
      </c>
      <c r="V46" s="4" t="str">
        <f>HYPERLINK(IF(D46="", "https://www.basketball-reference.com/international", "https://www.sports-reference.com/cbb") &amp; "/players/" &amp; LOWER(SUBSTITUTE(A46, " ", "-") &amp; "-1.html"))</f>
        <v>https://www.sports-reference.com/cbb/players/dj-steward-1.html</v>
      </c>
      <c r="W46" s="4" t="str">
        <f>HYPERLINK("https://www.nbadraft.net/players/" &amp; LOWER(SUBSTITUTE(A46, " ", "-") &amp; ""))</f>
        <v>https://www.nbadraft.net/players/dj-steward</v>
      </c>
      <c r="X46" s="18" t="str">
        <f>HYPERLINK("https://www.nba.com/draft/2021/prospects/" &amp; LOWER(SUBSTITUTE(A46, " ", "-") &amp; ""))</f>
        <v>https://www.nba.com/draft/2021/prospects/dj-steward</v>
      </c>
      <c r="Y46" s="11">
        <v>37166</v>
      </c>
      <c r="Z46" s="14">
        <f>RANK(AA46,AA:AA,1)</f>
        <v>75</v>
      </c>
      <c r="AA46" s="13">
        <f>IFERROR( (3*IF(AB46&gt;0,AB46, 76) + 2*IF(AC46&gt;0,AC46, 18) + 2*IF(AD46&gt;0,AD46, 5) + 2*IF(AE46&gt;0,AE46, 70) + 2*IF(AF46&gt;0,AF46, 7)  + IF(AG46&gt;0,AG46, 51) + IF(AI46&gt;0,AI46, 9) +  IF(AH46&gt;0,AH46, 101) + 0.75*IF(AJ46&gt;0,AJ46, 101)), 99)</f>
        <v>638.5</v>
      </c>
      <c r="AJ46" s="14">
        <v>66</v>
      </c>
      <c r="AK46" s="2" t="str">
        <f>IFERROR(INDEX(measureables!$A:$J,MATCH($A46,measureables!$A:$A,FALSE),7), "")</f>
        <v>6'1.75''</v>
      </c>
      <c r="AL46" s="2">
        <f>IFERROR(INDEX(measureables!$A:$J,MATCH($A46,measureables!$A:$A,FALSE),9), "")</f>
        <v>162.19999999999999</v>
      </c>
      <c r="AM46" s="2" t="str">
        <f>IFERROR(INDEX(measureables!$A:$J,MATCH($A46,measureables!$A:$A,FALSE),10), "")</f>
        <v>6'7.0''</v>
      </c>
      <c r="AN46" s="2" t="str">
        <f>IFERROR(INDEX(measureables!$A:$J,MATCH($A46,measureables!$A:$A,FALSE),8), "")</f>
        <v>8'2.5''</v>
      </c>
      <c r="AO46"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v>
      </c>
    </row>
    <row r="47" spans="1:41" ht="22" customHeight="1" x14ac:dyDescent="0.2">
      <c r="A47" t="s">
        <v>172</v>
      </c>
      <c r="B47" s="16" t="s">
        <v>361</v>
      </c>
      <c r="C47" s="3" t="s">
        <v>275</v>
      </c>
      <c r="D47" s="3" t="s">
        <v>19</v>
      </c>
      <c r="E47" s="10">
        <f>YEARFRAC(Y47, $E$2, 1)</f>
        <v>19.800782268578878</v>
      </c>
      <c r="F47" s="8">
        <f>IFERROR(LEFT(AK47,FIND("'",AK47)-1)*12+SUBSTITUTE(MID(AK47,FIND("'",AK47)+1,LEN(AK47)),"''",""), "")</f>
        <v>80.5</v>
      </c>
      <c r="G47" s="8">
        <f>AL47</f>
        <v>206.4</v>
      </c>
      <c r="H47" s="8">
        <f>IFERROR(LEFT(AM47,FIND("'",AM47)-1)*12+SUBSTITUTE(MID(AM47,FIND("'",AM47)+1,LEN(AM47)),"''",""), "")</f>
        <v>84.25</v>
      </c>
      <c r="I47" s="8">
        <f>IFERROR(LEFT(AN47,FIND("'",AN47)-1)*12+SUBSTITUTE(MID(AN47,FIND("'",AN47)+1,LEN(AN47)),"''",""), "")</f>
        <v>107</v>
      </c>
      <c r="J47" s="8" t="str">
        <f>IFERROR(IF(AND(H47-F47&gt;= 0, H47 &gt; 0), "+", ""),"") &amp; IFERROR(IF(AND(H47-F47&gt;= -5, H47 &gt; 0), H47-F47, ""),"")</f>
        <v>+3.75</v>
      </c>
      <c r="K47" s="10">
        <f>IF(F47&gt;0, IFERROR((H47-60)/(F47-60),""), "")</f>
        <v>1.1829268292682926</v>
      </c>
      <c r="Q47" s="7">
        <v>0</v>
      </c>
      <c r="R47" s="3" t="s">
        <v>443</v>
      </c>
      <c r="S47" s="8">
        <f>IF(Q47=Q46,S46, MAX(S$2:S46)+1)</f>
        <v>8</v>
      </c>
      <c r="T47" s="8">
        <f>IFERROR(INDEX(actual!A:A,MATCH(A47,actual!B:B,FALSE)), "")</f>
        <v>43</v>
      </c>
      <c r="U47" s="8" t="str">
        <f>IFERROR(INDEX(actual!C:C,MATCH(A47,actual!B:B,FALSE)), "")</f>
        <v>POR</v>
      </c>
      <c r="V47" s="17" t="s">
        <v>444</v>
      </c>
      <c r="W47" s="17" t="s">
        <v>445</v>
      </c>
      <c r="X47" s="17" t="s">
        <v>290</v>
      </c>
      <c r="Y47" s="11">
        <v>37135</v>
      </c>
      <c r="Z47" s="14">
        <f>RANK(AA47,AA:AA,1)</f>
        <v>42</v>
      </c>
      <c r="AA47" s="13">
        <f>IFERROR( (3*IF(AB47&gt;0,AB47, 76) + 2*IF(AC47&gt;0,AC47, 18) + 2*IF(AD47&gt;0,AD47, 5) + 2*IF(AE47&gt;0,AE47, 70) + 2*IF(AF47&gt;0,AF47, 7)  + IF(AG47&gt;0,AG47, 51) + IF(AI47&gt;0,AI47, 9) +  IF(AH47&gt;0,AH47, 101) + 0.75*IF(AJ47&gt;0,AJ47, 101)), 99)</f>
        <v>390.25</v>
      </c>
      <c r="AB47" s="14">
        <v>43</v>
      </c>
      <c r="AE47" s="14">
        <v>36</v>
      </c>
      <c r="AF47" s="14">
        <v>5</v>
      </c>
      <c r="AG47" s="14">
        <v>46</v>
      </c>
      <c r="AH47" s="14">
        <v>44</v>
      </c>
      <c r="AI47" s="14">
        <v>5</v>
      </c>
      <c r="AJ47" s="14">
        <v>51</v>
      </c>
      <c r="AK47" s="2" t="str">
        <f>IFERROR(INDEX(measureables!$A:$J,MATCH($A47,measureables!$A:$A,FALSE),7), "")</f>
        <v>6'8.5''</v>
      </c>
      <c r="AL47" s="2">
        <f>IFERROR(INDEX(measureables!$A:$J,MATCH($A47,measureables!$A:$A,FALSE),9), "")</f>
        <v>206.4</v>
      </c>
      <c r="AM47" s="2" t="str">
        <f>IFERROR(INDEX(measureables!$A:$J,MATCH($A47,measureables!$A:$A,FALSE),10), "")</f>
        <v>7'0.25''</v>
      </c>
      <c r="AN47" s="2" t="str">
        <f>IFERROR(INDEX(measureables!$A:$J,MATCH($A47,measureables!$A:$A,FALSE),8), "")</f>
        <v>8'11.0''</v>
      </c>
      <c r="AO47"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48" spans="1:41" ht="22" customHeight="1" x14ac:dyDescent="0.2">
      <c r="A48" t="s">
        <v>140</v>
      </c>
      <c r="B48" s="16" t="s">
        <v>361</v>
      </c>
      <c r="C48" s="3" t="s">
        <v>293</v>
      </c>
      <c r="D48" s="3" t="s">
        <v>256</v>
      </c>
      <c r="E48" s="10">
        <f>YEARFRAC(Y48, $E$2, 1)</f>
        <v>19.976010430247719</v>
      </c>
      <c r="F48" s="8">
        <f>IFERROR(LEFT(AK48,FIND("'",AK48)-1)*12+SUBSTITUTE(MID(AK48,FIND("'",AK48)+1,LEN(AK48)),"''",""), "")</f>
        <v>78.75</v>
      </c>
      <c r="G48" s="8">
        <f>AL48</f>
        <v>206.4</v>
      </c>
      <c r="H48" s="8">
        <f>IFERROR(LEFT(AM48,FIND("'",AM48)-1)*12+SUBSTITUTE(MID(AM48,FIND("'",AM48)+1,LEN(AM48)),"''",""), "")</f>
        <v>81.5</v>
      </c>
      <c r="I48" s="8">
        <f>IFERROR(LEFT(AN48,FIND("'",AN48)-1)*12+SUBSTITUTE(MID(AN48,FIND("'",AN48)+1,LEN(AN48)),"''",""), "")</f>
        <v>104</v>
      </c>
      <c r="J48" s="8" t="str">
        <f>IFERROR(IF(AND(H48-F48&gt;= 0, H48 &gt; 0), "+", ""),"") &amp; IFERROR(IF(AND(H48-F48&gt;= -5, H48 &gt; 0), H48-F48, ""),"")</f>
        <v>+2.75</v>
      </c>
      <c r="K48" s="10">
        <f>IF(F48&gt;0, IFERROR((H48-60)/(F48-60),""), "")</f>
        <v>1.1466666666666667</v>
      </c>
      <c r="Q48" s="7">
        <v>0</v>
      </c>
      <c r="R48" s="3" t="s">
        <v>443</v>
      </c>
      <c r="S48" s="8">
        <f>IF(Q48=Q47,S47, MAX(S$2:S47)+1)</f>
        <v>8</v>
      </c>
      <c r="T48" s="8" t="str">
        <f>IFERROR(INDEX(actual!A:A,MATCH(A48,actual!B:B,FALSE)), "")</f>
        <v/>
      </c>
      <c r="U48" s="8" t="str">
        <f>IFERROR(INDEX(actual!C:C,MATCH(A48,actual!B:B,FALSE)), "")</f>
        <v/>
      </c>
      <c r="V48" s="4" t="str">
        <f>HYPERLINK(IF(D48="", "https://www.basketball-reference.com/international", "https://www.sports-reference.com/cbb") &amp; "/players/" &amp; LOWER(SUBSTITUTE(A48, " ", "-") &amp; "-1.html"))</f>
        <v>https://www.sports-reference.com/cbb/players/justin-champagnie-1.html</v>
      </c>
      <c r="W48" s="4" t="str">
        <f>HYPERLINK("https://www.nbadraft.net/players/" &amp; LOWER(SUBSTITUTE(A48, " ", "-") &amp; ""))</f>
        <v>https://www.nbadraft.net/players/justin-champagnie</v>
      </c>
      <c r="X48" s="18" t="str">
        <f>HYPERLINK("https://www.nba.com/draft/2021/prospects/" &amp; LOWER(SUBSTITUTE(A48, " ", "-") &amp; ""))</f>
        <v>https://www.nba.com/draft/2021/prospects/justin-champagnie</v>
      </c>
      <c r="Y48" s="11">
        <v>37071</v>
      </c>
      <c r="Z48" s="14">
        <f>RANK(AA48,AA:AA,1)</f>
        <v>46</v>
      </c>
      <c r="AA48" s="13">
        <f>IFERROR( (3*IF(AB48&gt;0,AB48, 76) + 2*IF(AC48&gt;0,AC48, 18) + 2*IF(AD48&gt;0,AD48, 5) + 2*IF(AE48&gt;0,AE48, 70) + 2*IF(AF48&gt;0,AF48, 7)  + IF(AG48&gt;0,AG48, 51) + IF(AI48&gt;0,AI48, 9) +  IF(AH48&gt;0,AH48, 101) + 0.75*IF(AJ48&gt;0,AJ48, 101)), 99)</f>
        <v>433.75</v>
      </c>
      <c r="AB48" s="14">
        <v>52</v>
      </c>
      <c r="AE48" s="14">
        <v>33</v>
      </c>
      <c r="AF48" s="14">
        <v>5</v>
      </c>
      <c r="AH48" s="14">
        <v>47</v>
      </c>
      <c r="AI48" s="14">
        <v>6</v>
      </c>
      <c r="AJ48" s="14">
        <v>69</v>
      </c>
      <c r="AK48" s="2" t="str">
        <f>IFERROR(INDEX(measureables!$A:$J,MATCH($A48,measureables!$A:$A,FALSE),7), "")</f>
        <v>6'6.75''</v>
      </c>
      <c r="AL48" s="2">
        <f>IFERROR(INDEX(measureables!$A:$J,MATCH($A48,measureables!$A:$A,FALSE),9), "")</f>
        <v>206.4</v>
      </c>
      <c r="AM48" s="2" t="str">
        <f>IFERROR(INDEX(measureables!$A:$J,MATCH($A48,measureables!$A:$A,FALSE),10), "")</f>
        <v>6'9.5''</v>
      </c>
      <c r="AN48" s="2" t="str">
        <f>IFERROR(INDEX(measureables!$A:$J,MATCH($A48,measureables!$A:$A,FALSE),8), "")</f>
        <v>8'8.0''</v>
      </c>
      <c r="AO48"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49" spans="1:41" ht="22" customHeight="1" x14ac:dyDescent="0.2">
      <c r="A49" t="s">
        <v>117</v>
      </c>
      <c r="B49" s="16" t="s">
        <v>367</v>
      </c>
      <c r="C49" s="3" t="s">
        <v>292</v>
      </c>
      <c r="D49" s="3" t="s">
        <v>256</v>
      </c>
      <c r="E49" s="10">
        <f>YEARFRAC(Y49, $E$2, 1)</f>
        <v>20.312777053455019</v>
      </c>
      <c r="F49" s="8">
        <f>IFERROR(LEFT(AK49,FIND("'",AK49)-1)*12+SUBSTITUTE(MID(AK49,FIND("'",AK49)+1,LEN(AK49)),"''",""), "")</f>
        <v>76.75</v>
      </c>
      <c r="G49" s="8">
        <f>AL49</f>
        <v>202.8</v>
      </c>
      <c r="H49" s="8">
        <f>IFERROR(LEFT(AM49,FIND("'",AM49)-1)*12+SUBSTITUTE(MID(AM49,FIND("'",AM49)+1,LEN(AM49)),"''",""), "")</f>
        <v>82.5</v>
      </c>
      <c r="I49" s="8">
        <f>IFERROR(LEFT(AN49,FIND("'",AN49)-1)*12+SUBSTITUTE(MID(AN49,FIND("'",AN49)+1,LEN(AN49)),"''",""), "")</f>
        <v>104</v>
      </c>
      <c r="J49" s="8" t="str">
        <f>IFERROR(IF(AND(H49-F49&gt;= 0, H49 &gt; 0), "+", ""),"") &amp; IFERROR(IF(AND(H49-F49&gt;= -5, H49 &gt; 0), H49-F49, ""),"")</f>
        <v>+5.75</v>
      </c>
      <c r="K49" s="10">
        <f>IF(F49&gt;0, IFERROR((H49-60)/(F49-60),""), "")</f>
        <v>1.3432835820895523</v>
      </c>
      <c r="Q49" s="7">
        <v>0</v>
      </c>
      <c r="R49" s="3" t="s">
        <v>443</v>
      </c>
      <c r="S49" s="8">
        <f>IF(Q49=Q48,S48, MAX(S$2:S48)+1)</f>
        <v>8</v>
      </c>
      <c r="T49" s="8">
        <f>IFERROR(INDEX(actual!A:A,MATCH(A49,actual!B:B,FALSE)), "")</f>
        <v>47</v>
      </c>
      <c r="U49" s="8" t="str">
        <f>IFERROR(INDEX(actual!C:C,MATCH(A49,actual!B:B,FALSE)), "")</f>
        <v>TOR</v>
      </c>
      <c r="V49" s="17" t="s">
        <v>446</v>
      </c>
      <c r="W49" s="17" t="str">
        <f>HYPERLINK("https://www.nbadraft.net/players/" &amp; LOWER(SUBSTITUTE(A49, " ", "-") &amp; ""))</f>
        <v>https://www.nbadraft.net/players/david-johnson</v>
      </c>
      <c r="X49" s="18" t="str">
        <f>HYPERLINK("https://www.nba.com/draft/2021/prospects/" &amp; LOWER(SUBSTITUTE(A49, " ", "-") &amp; ""))</f>
        <v>https://www.nba.com/draft/2021/prospects/david-johnson</v>
      </c>
      <c r="Y49" s="11">
        <v>36948</v>
      </c>
      <c r="Z49" s="14">
        <f>RANK(AA49,AA:AA,1)</f>
        <v>45</v>
      </c>
      <c r="AA49" s="13">
        <f>IFERROR( (3*IF(AB49&gt;0,AB49, 76) + 2*IF(AC49&gt;0,AC49, 18) + 2*IF(AD49&gt;0,AD49, 5) + 2*IF(AE49&gt;0,AE49, 70) + 2*IF(AF49&gt;0,AF49, 7)  + IF(AG49&gt;0,AG49, 51) + IF(AI49&gt;0,AI49, 9) +  IF(AH49&gt;0,AH49, 101) + 0.75*IF(AJ49&gt;0,AJ49, 101)), 99)</f>
        <v>431.5</v>
      </c>
      <c r="AB49" s="14">
        <v>53</v>
      </c>
      <c r="AE49" s="14">
        <v>50</v>
      </c>
      <c r="AF49" s="14">
        <v>6</v>
      </c>
      <c r="AG49" s="14">
        <v>42</v>
      </c>
      <c r="AH49" s="14">
        <v>39</v>
      </c>
      <c r="AI49" s="14">
        <v>5</v>
      </c>
      <c r="AJ49" s="14">
        <v>38</v>
      </c>
      <c r="AK49" s="2" t="str">
        <f>IFERROR(INDEX(measureables!$A:$J,MATCH($A49,measureables!$A:$A,FALSE),7), "")</f>
        <v>6'4.75''</v>
      </c>
      <c r="AL49" s="2">
        <f>IFERROR(INDEX(measureables!$A:$J,MATCH($A49,measureables!$A:$A,FALSE),9), "")</f>
        <v>202.8</v>
      </c>
      <c r="AM49" s="2" t="str">
        <f>IFERROR(INDEX(measureables!$A:$J,MATCH($A49,measureables!$A:$A,FALSE),10), "")</f>
        <v>6'10.5''</v>
      </c>
      <c r="AN49" s="2" t="str">
        <f>IFERROR(INDEX(measureables!$A:$J,MATCH($A49,measureables!$A:$A,FALSE),8), "")</f>
        <v>8'8.0''</v>
      </c>
      <c r="AO49"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50" spans="1:41" ht="22" customHeight="1" x14ac:dyDescent="0.2">
      <c r="A50" t="s">
        <v>229</v>
      </c>
      <c r="B50" s="16" t="s">
        <v>367</v>
      </c>
      <c r="C50" s="3" t="s">
        <v>291</v>
      </c>
      <c r="E50" s="10">
        <f>YEARFRAC(Y50, $E$2, 1)</f>
        <v>20.581881533101047</v>
      </c>
      <c r="F50" s="8">
        <f>IFERROR(LEFT(AK50,FIND("'",AK50)-1)*12+SUBSTITUTE(MID(AK50,FIND("'",AK50)+1,LEN(AK50)),"''",""), "")</f>
        <v>76</v>
      </c>
      <c r="G50" s="8">
        <f>AL50</f>
        <v>194</v>
      </c>
      <c r="H50" s="8" t="str">
        <f>IFERROR(LEFT(AM50,FIND("'",AM50)-1)*12+SUBSTITUTE(MID(AM50,FIND("'",AM50)+1,LEN(AM50)),"''",""), "")</f>
        <v/>
      </c>
      <c r="I50" s="8" t="str">
        <f>IFERROR(LEFT(AN50,FIND("'",AN50)-1)*12+SUBSTITUTE(MID(AN50,FIND("'",AN50)+1,LEN(AN50)),"''",""), "")</f>
        <v/>
      </c>
      <c r="J50" s="8" t="str">
        <f>IFERROR(IF(AND(H50-F50&gt;= 0, H50 &gt; 0), "+", ""),"") &amp; IFERROR(IF(AND(H50-F50&gt;= -5, H50 &gt; 0), H50-F50, ""),"")</f>
        <v/>
      </c>
      <c r="K50" s="10" t="str">
        <f>IF(F50&gt;0, IFERROR((H50-60)/(F50-60),""), "")</f>
        <v/>
      </c>
      <c r="Q50" s="7">
        <v>0</v>
      </c>
      <c r="R50" s="3" t="s">
        <v>443</v>
      </c>
      <c r="S50" s="8">
        <f>IF(Q50=Q49,S49, MAX(S$2:S49)+1)</f>
        <v>8</v>
      </c>
      <c r="T50" s="8">
        <f>IFERROR(INDEX(actual!A:A,MATCH(A50,actual!B:B,FALSE)), "")</f>
        <v>34</v>
      </c>
      <c r="U50" s="8" t="str">
        <f>IFERROR(INDEX(actual!C:C,MATCH(A50,actual!B:B,FALSE)), "")</f>
        <v>NYK</v>
      </c>
      <c r="V50" s="4" t="str">
        <f>HYPERLINK(IF(D50="", "https://www.basketball-reference.com/international", "https://www.sports-reference.com/cbb") &amp; "/players/" &amp; LOWER(SUBSTITUTE(A50, " ", "-") &amp; "-1.html"))</f>
        <v>https://www.basketball-reference.com/international/players/rokas-jokubaitis-1.html</v>
      </c>
      <c r="W50" s="4" t="str">
        <f>HYPERLINK("https://www.nbadraft.net/players/" &amp; LOWER(SUBSTITUTE(A50, " ", "-") &amp; ""))</f>
        <v>https://www.nbadraft.net/players/rokas-jokubaitis</v>
      </c>
      <c r="X50" s="18" t="str">
        <f>HYPERLINK("https://www.nba.com/draft/2021/prospects/" &amp; LOWER(SUBSTITUTE(A50, " ", "-") &amp; ""))</f>
        <v>https://www.nba.com/draft/2021/prospects/rokas-jokubaitis</v>
      </c>
      <c r="Y50" s="11">
        <v>36849</v>
      </c>
      <c r="Z50" s="14">
        <f>RANK(AA50,AA:AA,1)</f>
        <v>44</v>
      </c>
      <c r="AA50" s="13">
        <f>IFERROR( (3*IF(AB50&gt;0,AB50, 76) + 2*IF(AC50&gt;0,AC50, 18) + 2*IF(AD50&gt;0,AD50, 5) + 2*IF(AE50&gt;0,AE50, 70) + 2*IF(AF50&gt;0,AF50, 7)  + IF(AG50&gt;0,AG50, 51) + IF(AI50&gt;0,AI50, 9) +  IF(AH50&gt;0,AH50, 101) + 0.75*IF(AJ50&gt;0,AJ50, 101)), 99)</f>
        <v>426.25</v>
      </c>
      <c r="AB50" s="14">
        <v>37</v>
      </c>
      <c r="AG50" s="14">
        <v>49</v>
      </c>
      <c r="AH50" s="14">
        <v>29</v>
      </c>
      <c r="AI50" s="14">
        <v>5</v>
      </c>
      <c r="AJ50" s="14">
        <v>43</v>
      </c>
      <c r="AK50" s="2" t="str">
        <f>IFERROR(INDEX(measureables!$A:$J,MATCH($A50,measureables!$A:$A,FALSE),7), "")</f>
        <v>6'4</v>
      </c>
      <c r="AL50" s="2">
        <f>IFERROR(INDEX(measureables!$A:$J,MATCH($A50,measureables!$A:$A,FALSE),9), "")</f>
        <v>194</v>
      </c>
      <c r="AM50" s="2">
        <f>IFERROR(INDEX(measureables!$A:$J,MATCH($A50,measureables!$A:$A,FALSE),10), "")</f>
        <v>0</v>
      </c>
      <c r="AN50" s="2">
        <f>IFERROR(INDEX(measureables!$A:$J,MATCH($A50,measureables!$A:$A,FALSE),8), "")</f>
        <v>0</v>
      </c>
      <c r="AO50"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51" spans="1:41" ht="22" customHeight="1" x14ac:dyDescent="0.2">
      <c r="A51" t="s">
        <v>83</v>
      </c>
      <c r="B51" s="16" t="s">
        <v>423</v>
      </c>
      <c r="C51" s="3" t="s">
        <v>270</v>
      </c>
      <c r="D51" s="3" t="s">
        <v>256</v>
      </c>
      <c r="E51" s="10">
        <f>YEARFRAC(Y51, $E$2, 1)</f>
        <v>20.609258337481336</v>
      </c>
      <c r="F51" s="8">
        <f>IFERROR(LEFT(AK51,FIND("'",AK51)-1)*12+SUBSTITUTE(MID(AK51,FIND("'",AK51)+1,LEN(AK51)),"''",""), "")</f>
        <v>80.75</v>
      </c>
      <c r="G51" s="8">
        <f>AL51</f>
        <v>237.4</v>
      </c>
      <c r="H51" s="8">
        <f>IFERROR(LEFT(AM51,FIND("'",AM51)-1)*12+SUBSTITUTE(MID(AM51,FIND("'",AM51)+1,LEN(AM51)),"''",""), "")</f>
        <v>86.25</v>
      </c>
      <c r="I51" s="8">
        <f>IFERROR(LEFT(AN51,FIND("'",AN51)-1)*12+SUBSTITUTE(MID(AN51,FIND("'",AN51)+1,LEN(AN51)),"''",""), "")</f>
        <v>105</v>
      </c>
      <c r="J51" s="8" t="str">
        <f>IFERROR(IF(AND(H51-F51&gt;= 0, H51 &gt; 0), "+", ""),"") &amp; IFERROR(IF(AND(H51-F51&gt;= -5, H51 &gt; 0), H51-F51, ""),"")</f>
        <v>+5.5</v>
      </c>
      <c r="K51" s="10">
        <f>IF(F51&gt;0, IFERROR((H51-60)/(F51-60),""), "")</f>
        <v>1.2650602409638554</v>
      </c>
      <c r="Q51" s="7">
        <v>0</v>
      </c>
      <c r="R51" s="3" t="s">
        <v>443</v>
      </c>
      <c r="S51" s="8">
        <f>IF(Q51=Q50,S50, MAX(S$2:S50)+1)</f>
        <v>8</v>
      </c>
      <c r="T51" s="8" t="str">
        <f>IFERROR(INDEX(actual!A:A,MATCH(A51,actual!B:B,FALSE)), "")</f>
        <v/>
      </c>
      <c r="U51" s="8" t="str">
        <f>IFERROR(INDEX(actual!C:C,MATCH(A51,actual!B:B,FALSE)), "")</f>
        <v/>
      </c>
      <c r="V51" s="4" t="str">
        <f>HYPERLINK(IF(D51="", "https://www.basketball-reference.com/international", "https://www.sports-reference.com/cbb") &amp; "/players/" &amp; LOWER(SUBSTITUTE(A51, " ", "-") &amp; "-1.html"))</f>
        <v>https://www.sports-reference.com/cbb/players/trendon-watford-1.html</v>
      </c>
      <c r="W51" s="4" t="str">
        <f>HYPERLINK("https://www.nbadraft.net/players/" &amp; LOWER(SUBSTITUTE(A51, " ", "-") &amp; ""))</f>
        <v>https://www.nbadraft.net/players/trendon-watford</v>
      </c>
      <c r="X51" s="18" t="str">
        <f>HYPERLINK("https://www.nba.com/draft/2021/prospects/" &amp; LOWER(SUBSTITUTE(A51, " ", "-") &amp; ""))</f>
        <v>https://www.nba.com/draft/2021/prospects/trendon-watford</v>
      </c>
      <c r="Y51" s="11">
        <v>36839</v>
      </c>
      <c r="Z51" s="14">
        <f>RANK(AA51,AA:AA,1)</f>
        <v>69</v>
      </c>
      <c r="AA51" s="13">
        <f>IFERROR( (3*IF(AB51&gt;0,AB51, 76) + 2*IF(AC51&gt;0,AC51, 18) + 2*IF(AD51&gt;0,AD51, 5) + 2*IF(AE51&gt;0,AE51, 70) + 2*IF(AF51&gt;0,AF51, 7)  + IF(AG51&gt;0,AG51, 51) + IF(AI51&gt;0,AI51, 9) +  IF(AH51&gt;0,AH51, 101) + 0.75*IF(AJ51&gt;0,AJ51, 101)), 99)</f>
        <v>589</v>
      </c>
      <c r="AE51" s="14">
        <v>61</v>
      </c>
      <c r="AF51" s="14">
        <v>6</v>
      </c>
      <c r="AH51" s="14">
        <v>75</v>
      </c>
      <c r="AI51" s="14">
        <v>7</v>
      </c>
      <c r="AJ51" s="14">
        <v>64</v>
      </c>
      <c r="AK51" s="2" t="str">
        <f>IFERROR(INDEX(measureables!$A:$J,MATCH($A51,measureables!$A:$A,FALSE),7), "")</f>
        <v>6'8.75''</v>
      </c>
      <c r="AL51" s="2">
        <f>IFERROR(INDEX(measureables!$A:$J,MATCH($A51,measureables!$A:$A,FALSE),9), "")</f>
        <v>237.4</v>
      </c>
      <c r="AM51" s="2" t="str">
        <f>IFERROR(INDEX(measureables!$A:$J,MATCH($A51,measureables!$A:$A,FALSE),10), "")</f>
        <v>7'2.25''</v>
      </c>
      <c r="AN51" s="2" t="str">
        <f>IFERROR(INDEX(measureables!$A:$J,MATCH($A51,measureables!$A:$A,FALSE),8), "")</f>
        <v>8'9.0''</v>
      </c>
      <c r="AO51"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52" spans="1:41" ht="22" customHeight="1" x14ac:dyDescent="0.2">
      <c r="A52" t="s">
        <v>91</v>
      </c>
      <c r="B52" s="16" t="s">
        <v>361</v>
      </c>
      <c r="C52" s="3" t="s">
        <v>294</v>
      </c>
      <c r="D52" s="3" t="s">
        <v>256</v>
      </c>
      <c r="E52" s="10">
        <f>YEARFRAC(Y52, $E$2, 1)</f>
        <v>20.625684420109508</v>
      </c>
      <c r="F52" s="8">
        <f>IFERROR(LEFT(AK52,FIND("'",AK52)-1)*12+SUBSTITUTE(MID(AK52,FIND("'",AK52)+1,LEN(AK52)),"''",""), "")</f>
        <v>81</v>
      </c>
      <c r="G52" s="8">
        <f>AL52</f>
        <v>242.4</v>
      </c>
      <c r="H52" s="8">
        <f>IFERROR(LEFT(AM52,FIND("'",AM52)-1)*12+SUBSTITUTE(MID(AM52,FIND("'",AM52)+1,LEN(AM52)),"''",""), "")</f>
        <v>81.75</v>
      </c>
      <c r="I52" s="8">
        <f>IFERROR(LEFT(AN52,FIND("'",AN52)-1)*12+SUBSTITUTE(MID(AN52,FIND("'",AN52)+1,LEN(AN52)),"''",""), "")</f>
        <v>105.5</v>
      </c>
      <c r="J52" s="8" t="str">
        <f>IFERROR(IF(AND(H52-F52&gt;= 0, H52 &gt; 0), "+", ""),"") &amp; IFERROR(IF(AND(H52-F52&gt;= -5, H52 &gt; 0), H52-F52, ""),"")</f>
        <v>+0.75</v>
      </c>
      <c r="K52" s="10">
        <f>IF(F52&gt;0, IFERROR((H52-60)/(F52-60),""), "")</f>
        <v>1.0357142857142858</v>
      </c>
      <c r="Q52" s="7">
        <v>0</v>
      </c>
      <c r="R52" s="3" t="s">
        <v>443</v>
      </c>
      <c r="S52" s="8">
        <f>IF(Q52=Q51,S51, MAX(S$2:S51)+1)</f>
        <v>8</v>
      </c>
      <c r="T52" s="8">
        <f>IFERROR(INDEX(actual!A:A,MATCH(A52,actual!B:B,FALSE)), "")</f>
        <v>32</v>
      </c>
      <c r="U52" s="8" t="str">
        <f>IFERROR(INDEX(actual!C:C,MATCH(A52,actual!B:B,FALSE)), "")</f>
        <v>OKC</v>
      </c>
      <c r="V52" s="4" t="str">
        <f>HYPERLINK(IF(D52="", "https://www.basketball-reference.com/international", "https://www.sports-reference.com/cbb") &amp; "/players/" &amp; LOWER(SUBSTITUTE(A52, " ", "-") &amp; "-1.html"))</f>
        <v>https://www.sports-reference.com/cbb/players/jeremiah-robinson-earl-1.html</v>
      </c>
      <c r="W52" s="4" t="str">
        <f>HYPERLINK("https://www.nbadraft.net/players/" &amp; LOWER(SUBSTITUTE(A52, " ", "-") &amp; ""))</f>
        <v>https://www.nbadraft.net/players/jeremiah-robinson-earl</v>
      </c>
      <c r="X52" s="18" t="str">
        <f>HYPERLINK("https://www.nba.com/draft/2021/prospects/" &amp; LOWER(SUBSTITUTE(A52, " ", "-") &amp; ""))</f>
        <v>https://www.nba.com/draft/2021/prospects/jeremiah-robinson-earl</v>
      </c>
      <c r="Y52" s="11">
        <v>36833</v>
      </c>
      <c r="Z52" s="14">
        <f>RANK(AA52,AA:AA,1)</f>
        <v>47</v>
      </c>
      <c r="AA52" s="13">
        <f>IFERROR( (3*IF(AB52&gt;0,AB52, 76) + 2*IF(AC52&gt;0,AC52, 18) + 2*IF(AD52&gt;0,AD52, 5) + 2*IF(AE52&gt;0,AE52, 70) + 2*IF(AF52&gt;0,AF52, 7)  + IF(AG52&gt;0,AG52, 51) + IF(AI52&gt;0,AI52, 9) +  IF(AH52&gt;0,AH52, 101) + 0.75*IF(AJ52&gt;0,AJ52, 101)), 99)</f>
        <v>437.5</v>
      </c>
      <c r="AB52" s="14">
        <v>64</v>
      </c>
      <c r="AE52" s="14">
        <v>35</v>
      </c>
      <c r="AF52" s="14">
        <v>5</v>
      </c>
      <c r="AG52" s="14">
        <v>41</v>
      </c>
      <c r="AH52" s="14">
        <v>30</v>
      </c>
      <c r="AI52" s="14">
        <v>5</v>
      </c>
      <c r="AJ52" s="14">
        <v>58</v>
      </c>
      <c r="AK52" s="2" t="str">
        <f>IFERROR(INDEX(measureables!$A:$J,MATCH($A52,measureables!$A:$A,FALSE),7), "")</f>
        <v>6'9.0''</v>
      </c>
      <c r="AL52" s="2">
        <f>IFERROR(INDEX(measureables!$A:$J,MATCH($A52,measureables!$A:$A,FALSE),9), "")</f>
        <v>242.4</v>
      </c>
      <c r="AM52" s="2" t="str">
        <f>IFERROR(INDEX(measureables!$A:$J,MATCH($A52,measureables!$A:$A,FALSE),10), "")</f>
        <v>6'9.75''</v>
      </c>
      <c r="AN52" s="2" t="str">
        <f>IFERROR(INDEX(measureables!$A:$J,MATCH($A52,measureables!$A:$A,FALSE),8), "")</f>
        <v>8'9.5''</v>
      </c>
      <c r="AO52"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53" spans="1:41" ht="22" customHeight="1" x14ac:dyDescent="0.2">
      <c r="A53" t="s">
        <v>158</v>
      </c>
      <c r="B53" s="16" t="s">
        <v>12</v>
      </c>
      <c r="C53" s="3" t="s">
        <v>298</v>
      </c>
      <c r="D53" s="3" t="s">
        <v>262</v>
      </c>
      <c r="E53" s="10">
        <f>YEARFRAC(Y53, $E$2, 1)</f>
        <v>20.642110502737683</v>
      </c>
      <c r="F53" s="8">
        <f>IFERROR(LEFT(AK53,FIND("'",AK53)-1)*12+SUBSTITUTE(MID(AK53,FIND("'",AK53)+1,LEN(AK53)),"''",""), "")</f>
        <v>82.25</v>
      </c>
      <c r="G53" s="8">
        <f>AL53</f>
        <v>230.2</v>
      </c>
      <c r="H53" s="8">
        <f>IFERROR(LEFT(AM53,FIND("'",AM53)-1)*12+SUBSTITUTE(MID(AM53,FIND("'",AM53)+1,LEN(AM53)),"''",""), "")</f>
        <v>87</v>
      </c>
      <c r="I53" s="8">
        <f>IFERROR(LEFT(AN53,FIND("'",AN53)-1)*12+SUBSTITUTE(MID(AN53,FIND("'",AN53)+1,LEN(AN53)),"''",""), "")</f>
        <v>107.5</v>
      </c>
      <c r="J53" s="8" t="str">
        <f>IFERROR(IF(AND(H53-F53&gt;= 0, H53 &gt; 0), "+", ""),"") &amp; IFERROR(IF(AND(H53-F53&gt;= -5, H53 &gt; 0), H53-F53, ""),"")</f>
        <v>+4.75</v>
      </c>
      <c r="K53" s="10">
        <f>IF(F53&gt;0, IFERROR((H53-60)/(F53-60),""), "")</f>
        <v>1.2134831460674158</v>
      </c>
      <c r="Q53" s="7">
        <v>0</v>
      </c>
      <c r="R53" s="3" t="s">
        <v>443</v>
      </c>
      <c r="S53" s="8">
        <f>IF(Q53=Q52,S52, MAX(S$2:S52)+1)</f>
        <v>8</v>
      </c>
      <c r="T53" s="8">
        <f>IFERROR(INDEX(actual!A:A,MATCH(A53,actual!B:B,FALSE)), "")</f>
        <v>53</v>
      </c>
      <c r="U53" s="8" t="str">
        <f>IFERROR(INDEX(actual!C:C,MATCH(A53,actual!B:B,FALSE)), "")</f>
        <v>PHI</v>
      </c>
      <c r="V53" s="4" t="str">
        <f>HYPERLINK(IF(D53="", "https://www.basketball-reference.com/international", "https://www.sports-reference.com/cbb") &amp; "/players/" &amp; LOWER(SUBSTITUTE(A53, " ", "-") &amp; "-1.html"))</f>
        <v>https://www.sports-reference.com/cbb/players/charles-bassey-1.html</v>
      </c>
      <c r="W53" s="4" t="str">
        <f>HYPERLINK("https://www.nbadraft.net/players/" &amp; LOWER(SUBSTITUTE(A53, " ", "-") &amp; ""))</f>
        <v>https://www.nbadraft.net/players/charles-bassey</v>
      </c>
      <c r="X53" s="18" t="str">
        <f>HYPERLINK("https://www.nba.com/draft/2021/prospects/" &amp; LOWER(SUBSTITUTE(A53, " ", "-") &amp; ""))</f>
        <v>https://www.nba.com/draft/2021/prospects/charles-bassey</v>
      </c>
      <c r="Y53" s="11">
        <v>36827</v>
      </c>
      <c r="Z53" s="14">
        <f>RANK(AA53,AA:AA,1)</f>
        <v>53</v>
      </c>
      <c r="AA53" s="13">
        <f>IFERROR( (3*IF(AB53&gt;0,AB53, 76) + 2*IF(AC53&gt;0,AC53, 18) + 2*IF(AD53&gt;0,AD53, 5) + 2*IF(AE53&gt;0,AE53, 70) + 2*IF(AF53&gt;0,AF53, 7)  + IF(AG53&gt;0,AG53, 51) + IF(AI53&gt;0,AI53, 9) +  IF(AH53&gt;0,AH53, 101) + 0.75*IF(AJ53&gt;0,AJ53, 101)), 99)</f>
        <v>498.25</v>
      </c>
      <c r="AE53" s="14">
        <v>44</v>
      </c>
      <c r="AF53" s="14">
        <v>5</v>
      </c>
      <c r="AG53" s="14">
        <v>35</v>
      </c>
      <c r="AH53" s="14">
        <v>59</v>
      </c>
      <c r="AI53" s="14">
        <v>6</v>
      </c>
      <c r="AJ53" s="14">
        <v>35</v>
      </c>
      <c r="AK53" s="2" t="str">
        <f>IFERROR(INDEX(measureables!$A:$J,MATCH($A53,measureables!$A:$A,FALSE),7), "")</f>
        <v>6'10.25''</v>
      </c>
      <c r="AL53" s="2">
        <f>IFERROR(INDEX(measureables!$A:$J,MATCH($A53,measureables!$A:$A,FALSE),9), "")</f>
        <v>230.2</v>
      </c>
      <c r="AM53" s="2" t="str">
        <f>IFERROR(INDEX(measureables!$A:$J,MATCH($A53,measureables!$A:$A,FALSE),10), "")</f>
        <v>7'3.0''</v>
      </c>
      <c r="AN53" s="2" t="str">
        <f>IFERROR(INDEX(measureables!$A:$J,MATCH($A53,measureables!$A:$A,FALSE),8), "")</f>
        <v>8'11.5''</v>
      </c>
      <c r="AO53"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54" spans="1:41" ht="22" customHeight="1" x14ac:dyDescent="0.2">
      <c r="A54" t="s">
        <v>203</v>
      </c>
      <c r="B54" s="16" t="s">
        <v>423</v>
      </c>
      <c r="C54" s="3" t="s">
        <v>295</v>
      </c>
      <c r="D54" s="3" t="s">
        <v>262</v>
      </c>
      <c r="E54" s="10">
        <f>YEARFRAC(Y54, $E$2, 1)</f>
        <v>20.861124937779991</v>
      </c>
      <c r="F54" s="8">
        <f>IFERROR(LEFT(AK54,FIND("'",AK54)-1)*12+SUBSTITUTE(MID(AK54,FIND("'",AK54)+1,LEN(AK54)),"''",""), "")</f>
        <v>80</v>
      </c>
      <c r="G54" s="8">
        <f>AL54</f>
        <v>203</v>
      </c>
      <c r="H54" s="8">
        <f>IFERROR(LEFT(AM54,FIND("'",AM54)-1)*12+SUBSTITUTE(MID(AM54,FIND("'",AM54)+1,LEN(AM54)),"''",""), "")</f>
        <v>83.25</v>
      </c>
      <c r="I54" s="8">
        <f>IFERROR(LEFT(AN54,FIND("'",AN54)-1)*12+SUBSTITUTE(MID(AN54,FIND("'",AN54)+1,LEN(AN54)),"''",""), "")</f>
        <v>106</v>
      </c>
      <c r="J54" s="8" t="str">
        <f>IFERROR(IF(AND(H54-F54&gt;= 0, H54 &gt; 0), "+", ""),"") &amp; IFERROR(IF(AND(H54-F54&gt;= -5, H54 &gt; 0), H54-F54, ""),"")</f>
        <v>+3.25</v>
      </c>
      <c r="K54" s="10">
        <f>IF(F54&gt;0, IFERROR((H54-60)/(F54-60),""), "")</f>
        <v>1.1625000000000001</v>
      </c>
      <c r="Q54" s="7">
        <v>0</v>
      </c>
      <c r="R54" s="3" t="s">
        <v>443</v>
      </c>
      <c r="S54" s="8">
        <f>IF(Q54=Q53,S53, MAX(S$2:S53)+1)</f>
        <v>8</v>
      </c>
      <c r="T54" s="8">
        <f>IFERROR(INDEX(actual!A:A,MATCH(A54,actual!B:B,FALSE)), "")</f>
        <v>44</v>
      </c>
      <c r="U54" s="8" t="str">
        <f>IFERROR(INDEX(actual!C:C,MATCH(A54,actual!B:B,FALSE)), "")</f>
        <v>BRK</v>
      </c>
      <c r="V54" s="4" t="str">
        <f>HYPERLINK(IF(D54="", "https://www.basketball-reference.com/international", "https://www.sports-reference.com/cbb") &amp; "/players/" &amp; LOWER(SUBSTITUTE(A54, " ", "-") &amp; "-1.html"))</f>
        <v>https://www.sports-reference.com/cbb/players/kessler-edwards-1.html</v>
      </c>
      <c r="W54" s="4" t="str">
        <f>HYPERLINK("https://www.nbadraft.net/players/" &amp; LOWER(SUBSTITUTE(A54, " ", "-") &amp; ""))</f>
        <v>https://www.nbadraft.net/players/kessler-edwards</v>
      </c>
      <c r="X54" s="18" t="str">
        <f>HYPERLINK("https://www.nba.com/draft/2021/prospects/" &amp; LOWER(SUBSTITUTE(A54, " ", "-") &amp; ""))</f>
        <v>https://www.nba.com/draft/2021/prospects/kessler-edwards</v>
      </c>
      <c r="Y54" s="11">
        <v>36747</v>
      </c>
      <c r="Z54" s="14">
        <f>RANK(AA54,AA:AA,1)</f>
        <v>49</v>
      </c>
      <c r="AA54" s="13">
        <f>IFERROR( (3*IF(AB54&gt;0,AB54, 76) + 2*IF(AC54&gt;0,AC54, 18) + 2*IF(AD54&gt;0,AD54, 5) + 2*IF(AE54&gt;0,AE54, 70) + 2*IF(AF54&gt;0,AF54, 7)  + IF(AG54&gt;0,AG54, 51) + IF(AI54&gt;0,AI54, 9) +  IF(AH54&gt;0,AH54, 101) + 0.75*IF(AJ54&gt;0,AJ54, 101)), 99)</f>
        <v>449</v>
      </c>
      <c r="AB54" s="14">
        <v>63</v>
      </c>
      <c r="AE54" s="14">
        <v>39</v>
      </c>
      <c r="AF54" s="14">
        <v>5</v>
      </c>
      <c r="AH54" s="14">
        <v>37</v>
      </c>
      <c r="AI54" s="14">
        <v>5</v>
      </c>
      <c r="AJ54" s="14">
        <v>44</v>
      </c>
      <c r="AK54" s="2" t="str">
        <f>IFERROR(INDEX(measureables!$A:$J,MATCH($A54,measureables!$A:$A,FALSE),7), "")</f>
        <v>6'8.0''</v>
      </c>
      <c r="AL54" s="2">
        <f>IFERROR(INDEX(measureables!$A:$J,MATCH($A54,measureables!$A:$A,FALSE),9), "")</f>
        <v>203</v>
      </c>
      <c r="AM54" s="2" t="str">
        <f>IFERROR(INDEX(measureables!$A:$J,MATCH($A54,measureables!$A:$A,FALSE),10), "")</f>
        <v>6'11.25''</v>
      </c>
      <c r="AN54" s="2" t="str">
        <f>IFERROR(INDEX(measureables!$A:$J,MATCH($A54,measureables!$A:$A,FALSE),8), "")</f>
        <v>8'10.0''</v>
      </c>
      <c r="AO54"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55" spans="1:41" ht="22" customHeight="1" x14ac:dyDescent="0.2">
      <c r="A55" t="s">
        <v>202</v>
      </c>
      <c r="B55" s="16" t="s">
        <v>325</v>
      </c>
      <c r="C55" s="3" t="s">
        <v>305</v>
      </c>
      <c r="D55" s="3" t="s">
        <v>262</v>
      </c>
      <c r="E55" s="10">
        <f>YEARFRAC(Y55, $E$2, 1)</f>
        <v>20.929566948730713</v>
      </c>
      <c r="F55" s="8">
        <f>IFERROR(LEFT(AK55,FIND("'",AK55)-1)*12+SUBSTITUTE(MID(AK55,FIND("'",AK55)+1,LEN(AK55)),"''",""), "")</f>
        <v>78.75</v>
      </c>
      <c r="G55" s="8">
        <f>AL55</f>
        <v>179.2</v>
      </c>
      <c r="H55" s="8">
        <f>IFERROR(LEFT(AM55,FIND("'",AM55)-1)*12+SUBSTITUTE(MID(AM55,FIND("'",AM55)+1,LEN(AM55)),"''",""), "")</f>
        <v>78.75</v>
      </c>
      <c r="I55" s="8">
        <f>IFERROR(LEFT(AN55,FIND("'",AN55)-1)*12+SUBSTITUTE(MID(AN55,FIND("'",AN55)+1,LEN(AN55)),"''",""), "")</f>
        <v>99.5</v>
      </c>
      <c r="J55" s="8" t="str">
        <f>IFERROR(IF(AND(H55-F55&gt;= 0, H55 &gt; 0), "+", ""),"") &amp; IFERROR(IF(AND(H55-F55&gt;= -5, H55 &gt; 0), H55-F55, ""),"")</f>
        <v>+0</v>
      </c>
      <c r="K55" s="10">
        <f>IF(F55&gt;0, IFERROR((H55-60)/(F55-60),""), "")</f>
        <v>1</v>
      </c>
      <c r="Q55" s="7">
        <v>0</v>
      </c>
      <c r="R55" s="3" t="s">
        <v>443</v>
      </c>
      <c r="S55" s="8">
        <f>IF(Q55=Q54,S54, MAX(S$2:S54)+1)</f>
        <v>8</v>
      </c>
      <c r="T55" s="8" t="str">
        <f>IFERROR(INDEX(actual!A:A,MATCH(A55,actual!B:B,FALSE)), "")</f>
        <v/>
      </c>
      <c r="U55" s="8" t="str">
        <f>IFERROR(INDEX(actual!C:C,MATCH(A55,actual!B:B,FALSE)), "")</f>
        <v/>
      </c>
      <c r="V55" s="4" t="str">
        <f>HYPERLINK(IF(D55="", "https://www.basketball-reference.com/international", "https://www.sports-reference.com/cbb") &amp; "/players/" &amp; LOWER(SUBSTITUTE(A55, " ", "-") &amp; "-1.html"))</f>
        <v>https://www.sports-reference.com/cbb/players/aj-lawson-1.html</v>
      </c>
      <c r="W55" s="4" t="str">
        <f>HYPERLINK("https://www.nbadraft.net/players/" &amp; LOWER(SUBSTITUTE(A55, " ", "-") &amp; ""))</f>
        <v>https://www.nbadraft.net/players/aj-lawson</v>
      </c>
      <c r="X55" s="17" t="s">
        <v>304</v>
      </c>
      <c r="Y55" s="11">
        <v>36722</v>
      </c>
      <c r="Z55" s="14">
        <f>RANK(AA55,AA:AA,1)</f>
        <v>63</v>
      </c>
      <c r="AA55" s="13">
        <f>IFERROR( (3*IF(AB55&gt;0,AB55, 76) + 2*IF(AC55&gt;0,AC55, 18) + 2*IF(AD55&gt;0,AD55, 5) + 2*IF(AE55&gt;0,AE55, 70) + 2*IF(AF55&gt;0,AF55, 7)  + IF(AG55&gt;0,AG55, 51) + IF(AI55&gt;0,AI55, 9) +  IF(AH55&gt;0,AH55, 101) + 0.75*IF(AJ55&gt;0,AJ55, 101)), 99)</f>
        <v>546</v>
      </c>
      <c r="AB55" s="14">
        <v>51</v>
      </c>
      <c r="AH55" s="14">
        <v>81</v>
      </c>
      <c r="AI55" s="14">
        <v>7</v>
      </c>
      <c r="AJ55" s="14">
        <v>72</v>
      </c>
      <c r="AK55" s="2" t="str">
        <f>IFERROR(INDEX(measureables!$A:$J,MATCH($A55,measureables!$A:$A,FALSE),7), "")</f>
        <v>6'6.75''</v>
      </c>
      <c r="AL55" s="2">
        <f>IFERROR(INDEX(measureables!$A:$J,MATCH($A55,measureables!$A:$A,FALSE),9), "")</f>
        <v>179.2</v>
      </c>
      <c r="AM55" s="2" t="str">
        <f>IFERROR(INDEX(measureables!$A:$J,MATCH($A55,measureables!$A:$A,FALSE),10), "")</f>
        <v>6'6.75''</v>
      </c>
      <c r="AN55" s="2" t="str">
        <f>IFERROR(INDEX(measureables!$A:$J,MATCH($A55,measureables!$A:$A,FALSE),8), "")</f>
        <v>8'3.5''</v>
      </c>
      <c r="AO55"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56" spans="1:41" ht="22" customHeight="1" x14ac:dyDescent="0.2">
      <c r="A56" t="s">
        <v>138</v>
      </c>
      <c r="B56" s="16" t="s">
        <v>355</v>
      </c>
      <c r="C56" s="3" t="s">
        <v>289</v>
      </c>
      <c r="D56" s="3" t="s">
        <v>262</v>
      </c>
      <c r="E56" s="10">
        <f>YEARFRAC(Y56, $E$2, 1)</f>
        <v>21.115729218516677</v>
      </c>
      <c r="F56" s="8">
        <f>IFERROR(LEFT(AK56,FIND("'",AK56)-1)*12+SUBSTITUTE(MID(AK56,FIND("'",AK56)+1,LEN(AK56)),"''",""), "")</f>
        <v>77.25</v>
      </c>
      <c r="G56" s="8">
        <f>AL56</f>
        <v>205</v>
      </c>
      <c r="H56" s="8">
        <f>IFERROR(LEFT(AM56,FIND("'",AM56)-1)*12+SUBSTITUTE(MID(AM56,FIND("'",AM56)+1,LEN(AM56)),"''",""), "")</f>
        <v>80</v>
      </c>
      <c r="I56" s="8">
        <f>IFERROR(LEFT(AN56,FIND("'",AN56)-1)*12+SUBSTITUTE(MID(AN56,FIND("'",AN56)+1,LEN(AN56)),"''",""), "")</f>
        <v>101</v>
      </c>
      <c r="J56" s="8" t="str">
        <f>IFERROR(IF(AND(H56-F56&gt;= 0, H56 &gt; 0), "+", ""),"") &amp; IFERROR(IF(AND(H56-F56&gt;= -5, H56 &gt; 0), H56-F56, ""),"")</f>
        <v>+2.75</v>
      </c>
      <c r="K56" s="10">
        <f>IF(F56&gt;0, IFERROR((H56-60)/(F56-60),""), "")</f>
        <v>1.1594202898550725</v>
      </c>
      <c r="Q56" s="7">
        <v>0</v>
      </c>
      <c r="R56" s="3" t="s">
        <v>443</v>
      </c>
      <c r="S56" s="8">
        <f>IF(Q56=Q55,S55, MAX(S$2:S55)+1)</f>
        <v>8</v>
      </c>
      <c r="T56" s="8">
        <f>IFERROR(INDEX(actual!A:A,MATCH(A56,actual!B:B,FALSE)), "")</f>
        <v>25</v>
      </c>
      <c r="U56" s="8" t="str">
        <f>IFERROR(INDEX(actual!C:C,MATCH(A56,actual!B:B,FALSE)), "")</f>
        <v>NYK</v>
      </c>
      <c r="V56" s="4" t="str">
        <f>HYPERLINK(IF(D56="", "https://www.basketball-reference.com/international", "https://www.sports-reference.com/cbb") &amp; "/players/" &amp; LOWER(SUBSTITUTE(A56, " ", "-") &amp; "-1.html"))</f>
        <v>https://www.sports-reference.com/cbb/players/quentin-grimes-1.html</v>
      </c>
      <c r="W56" s="4" t="str">
        <f>HYPERLINK("https://www.nbadraft.net/players/" &amp; LOWER(SUBSTITUTE(A56, " ", "-") &amp; ""))</f>
        <v>https://www.nbadraft.net/players/quentin-grimes</v>
      </c>
      <c r="X56" s="18" t="str">
        <f>HYPERLINK("https://www.nba.com/draft/2021/prospects/" &amp; LOWER(SUBSTITUTE(A56, " ", "-") &amp; ""))</f>
        <v>https://www.nba.com/draft/2021/prospects/quentin-grimes</v>
      </c>
      <c r="Y56" s="11">
        <v>36654</v>
      </c>
      <c r="Z56" s="14">
        <f>RANK(AA56,AA:AA,1)</f>
        <v>41</v>
      </c>
      <c r="AA56" s="13">
        <f>IFERROR( (3*IF(AB56&gt;0,AB56, 76) + 2*IF(AC56&gt;0,AC56, 18) + 2*IF(AD56&gt;0,AD56, 5) + 2*IF(AE56&gt;0,AE56, 70) + 2*IF(AF56&gt;0,AF56, 7)  + IF(AG56&gt;0,AG56, 51) + IF(AI56&gt;0,AI56, 9) +  IF(AH56&gt;0,AH56, 101) + 0.75*IF(AJ56&gt;0,AJ56, 101)), 99)</f>
        <v>376.75</v>
      </c>
      <c r="AB56" s="14">
        <v>54</v>
      </c>
      <c r="AE56" s="14">
        <v>27</v>
      </c>
      <c r="AF56" s="14">
        <v>5</v>
      </c>
      <c r="AG56" s="14">
        <v>40</v>
      </c>
      <c r="AH56" s="14">
        <v>38</v>
      </c>
      <c r="AI56" s="14">
        <v>5</v>
      </c>
      <c r="AJ56" s="14">
        <v>29</v>
      </c>
      <c r="AK56" s="2" t="str">
        <f>IFERROR(INDEX(measureables!$A:$J,MATCH($A56,measureables!$A:$A,FALSE),7), "")</f>
        <v>6'5.25''</v>
      </c>
      <c r="AL56" s="2">
        <f>IFERROR(INDEX(measureables!$A:$J,MATCH($A56,measureables!$A:$A,FALSE),9), "")</f>
        <v>205</v>
      </c>
      <c r="AM56" s="2" t="str">
        <f>IFERROR(INDEX(measureables!$A:$J,MATCH($A56,measureables!$A:$A,FALSE),10), "")</f>
        <v>6'8.0''</v>
      </c>
      <c r="AN56" s="2" t="str">
        <f>IFERROR(INDEX(measureables!$A:$J,MATCH($A56,measureables!$A:$A,FALSE),8), "")</f>
        <v>8'5.0''</v>
      </c>
      <c r="AO56"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57" spans="1:41" ht="22" customHeight="1" x14ac:dyDescent="0.2">
      <c r="A57" t="s">
        <v>234</v>
      </c>
      <c r="B57" s="16" t="s">
        <v>12</v>
      </c>
      <c r="C57" s="3" t="s">
        <v>21</v>
      </c>
      <c r="D57" s="3" t="s">
        <v>12</v>
      </c>
      <c r="E57" s="10">
        <f>YEARFRAC(Y57, $E$2, 1)</f>
        <v>21.13489298158288</v>
      </c>
      <c r="F57" s="8" t="str">
        <f>IFERROR(LEFT(AK57,FIND("'",AK57)-1)*12+SUBSTITUTE(MID(AK57,FIND("'",AK57)+1,LEN(AK57)),"''",""), "")</f>
        <v/>
      </c>
      <c r="G57" s="8">
        <f>AL57</f>
        <v>0</v>
      </c>
      <c r="H57" s="8" t="str">
        <f>IFERROR(LEFT(AM57,FIND("'",AM57)-1)*12+SUBSTITUTE(MID(AM57,FIND("'",AM57)+1,LEN(AM57)),"''",""), "")</f>
        <v/>
      </c>
      <c r="I57" s="8" t="str">
        <f>IFERROR(LEFT(AN57,FIND("'",AN57)-1)*12+SUBSTITUTE(MID(AN57,FIND("'",AN57)+1,LEN(AN57)),"''",""), "")</f>
        <v/>
      </c>
      <c r="J57" s="8" t="str">
        <f>IFERROR(IF(AND(H57-F57&gt;= 0, H57 &gt; 0), "+", ""),"") &amp; IFERROR(IF(AND(H57-F57&gt;= -5, H57 &gt; 0), H57-F57, ""),"")</f>
        <v/>
      </c>
      <c r="K57" s="10" t="str">
        <f>IF(F57&gt;0, IFERROR((H57-60)/(F57-60),""), "")</f>
        <v/>
      </c>
      <c r="Q57" s="7">
        <v>0</v>
      </c>
      <c r="R57" s="3" t="s">
        <v>443</v>
      </c>
      <c r="S57" s="8">
        <f>IF(Q57=Q56,S56, MAX(S$2:S56)+1)</f>
        <v>8</v>
      </c>
      <c r="T57" s="8">
        <f>IFERROR(INDEX(actual!A:A,MATCH(A57,actual!B:B,FALSE)), "")</f>
        <v>57</v>
      </c>
      <c r="U57" s="8" t="str">
        <f>IFERROR(INDEX(actual!C:C,MATCH(A57,actual!B:B,FALSE)), "")</f>
        <v>DET</v>
      </c>
      <c r="V57" s="4" t="str">
        <f>HYPERLINK(IF(D57="", "https://www.basketball-reference.com/international", "https://www.sports-reference.com/cbb") &amp; "/players/" &amp; LOWER(SUBSTITUTE(A57, " ", "-") &amp; "-1.html"))</f>
        <v>https://www.sports-reference.com/cbb/players/balsa-koprivica-1.html</v>
      </c>
      <c r="W57" s="4" t="str">
        <f>HYPERLINK("https://www.nbadraft.net/players/" &amp; LOWER(SUBSTITUTE(A57, " ", "-") &amp; ""))</f>
        <v>https://www.nbadraft.net/players/balsa-koprivica</v>
      </c>
      <c r="X57" s="17"/>
      <c r="Y57" s="11">
        <v>36647</v>
      </c>
      <c r="Z57" s="14">
        <f>RANK(AA57,AA:AA,1)</f>
        <v>73</v>
      </c>
      <c r="AA57" s="13">
        <f>IFERROR( (3*IF(AB57&gt;0,AB57, 76) + 2*IF(AC57&gt;0,AC57, 18) + 2*IF(AD57&gt;0,AD57, 5) + 2*IF(AE57&gt;0,AE57, 70) + 2*IF(AF57&gt;0,AF57, 7)  + IF(AG57&gt;0,AG57, 51) + IF(AI57&gt;0,AI57, 9) +  IF(AH57&gt;0,AH57, 101) + 0.75*IF(AJ57&gt;0,AJ57, 101)), 99)</f>
        <v>612.75</v>
      </c>
      <c r="AE57" s="14">
        <v>46</v>
      </c>
      <c r="AF57" s="14">
        <v>5</v>
      </c>
      <c r="AK57" s="2">
        <f>IFERROR(INDEX(measureables!$A:$J,MATCH($A57,measureables!$A:$A,FALSE),7), "")</f>
        <v>0</v>
      </c>
      <c r="AL57" s="2">
        <f>IFERROR(INDEX(measureables!$A:$J,MATCH($A57,measureables!$A:$A,FALSE),9), "")</f>
        <v>0</v>
      </c>
      <c r="AM57" s="2">
        <f>IFERROR(INDEX(measureables!$A:$J,MATCH($A57,measureables!$A:$A,FALSE),10), "")</f>
        <v>0</v>
      </c>
      <c r="AN57" s="2">
        <f>IFERROR(INDEX(measureables!$A:$J,MATCH($A57,measureables!$A:$A,FALSE),8), "")</f>
        <v>0</v>
      </c>
      <c r="AO57"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58" spans="1:41" ht="22" customHeight="1" x14ac:dyDescent="0.2">
      <c r="A58" t="s">
        <v>56</v>
      </c>
      <c r="B58" s="16" t="s">
        <v>361</v>
      </c>
      <c r="C58" s="3" t="s">
        <v>259</v>
      </c>
      <c r="D58" s="3" t="s">
        <v>256</v>
      </c>
      <c r="E58" s="10">
        <f>YEARFRAC(Y58, $E$2, 1)</f>
        <v>21.165007466401196</v>
      </c>
      <c r="F58" s="8">
        <f>IFERROR(LEFT(AK58,FIND("'",AK58)-1)*12+SUBSTITUTE(MID(AK58,FIND("'",AK58)+1,LEN(AK58)),"''",""), "")</f>
        <v>81.5</v>
      </c>
      <c r="G58" s="8">
        <f>AL58</f>
        <v>232.4</v>
      </c>
      <c r="H58" s="8">
        <f>IFERROR(LEFT(AM58,FIND("'",AM58)-1)*12+SUBSTITUTE(MID(AM58,FIND("'",AM58)+1,LEN(AM58)),"''",""), "")</f>
        <v>81.5</v>
      </c>
      <c r="I58" s="8">
        <f>IFERROR(LEFT(AN58,FIND("'",AN58)-1)*12+SUBSTITUTE(MID(AN58,FIND("'",AN58)+1,LEN(AN58)),"''",""), "")</f>
        <v>106.5</v>
      </c>
      <c r="J58" s="8" t="str">
        <f>IFERROR(IF(AND(H58-F58&gt;= 0, H58 &gt; 0), "+", ""),"") &amp; IFERROR(IF(AND(H58-F58&gt;= -5, H58 &gt; 0), H58-F58, ""),"")</f>
        <v>+0</v>
      </c>
      <c r="K58" s="10">
        <f>IF(F58&gt;0, IFERROR((H58-60)/(F58-60),""), "")</f>
        <v>1</v>
      </c>
      <c r="Q58" s="7">
        <v>0</v>
      </c>
      <c r="R58" s="3" t="s">
        <v>443</v>
      </c>
      <c r="S58" s="8">
        <f>IF(Q58=Q57,S57, MAX(S$2:S57)+1)</f>
        <v>8</v>
      </c>
      <c r="T58" s="8" t="str">
        <f>IFERROR(INDEX(actual!A:A,MATCH(A58,actual!B:B,FALSE)), "")</f>
        <v/>
      </c>
      <c r="U58" s="8" t="str">
        <f>IFERROR(INDEX(actual!C:C,MATCH(A58,actual!B:B,FALSE)), "")</f>
        <v/>
      </c>
      <c r="V58" s="17" t="s">
        <v>453</v>
      </c>
      <c r="W58" s="17" t="s">
        <v>454</v>
      </c>
      <c r="X58" s="17" t="s">
        <v>306</v>
      </c>
      <c r="Y58" s="11">
        <v>36636</v>
      </c>
      <c r="Z58" s="14">
        <f>RANK(AA58,AA:AA,1)</f>
        <v>64</v>
      </c>
      <c r="AA58" s="13">
        <f>IFERROR( (3*IF(AB58&gt;0,AB58, 76) + 2*IF(AC58&gt;0,AC58, 18) + 2*IF(AD58&gt;0,AD58, 5) + 2*IF(AE58&gt;0,AE58, 70) + 2*IF(AF58&gt;0,AF58, 7)  + IF(AG58&gt;0,AG58, 51) + IF(AI58&gt;0,AI58, 9) +  IF(AH58&gt;0,AH58, 101) + 0.75*IF(AJ58&gt;0,AJ58, 101)), 99)</f>
        <v>548.75</v>
      </c>
      <c r="AE58" s="14">
        <v>53</v>
      </c>
      <c r="AF58" s="14">
        <v>6</v>
      </c>
      <c r="AH58" s="14">
        <v>60</v>
      </c>
      <c r="AI58" s="14">
        <v>6</v>
      </c>
      <c r="AJ58" s="14">
        <v>53</v>
      </c>
      <c r="AK58" s="2" t="str">
        <f>IFERROR(INDEX(measureables!$A:$J,MATCH($A58,measureables!$A:$A,FALSE),7), "")</f>
        <v>6'9.5''</v>
      </c>
      <c r="AL58" s="2">
        <f>IFERROR(INDEX(measureables!$A:$J,MATCH($A58,measureables!$A:$A,FALSE),9), "")</f>
        <v>232.4</v>
      </c>
      <c r="AM58" s="2" t="str">
        <f>IFERROR(INDEX(measureables!$A:$J,MATCH($A58,measureables!$A:$A,FALSE),10), "")</f>
        <v>6'9.5''</v>
      </c>
      <c r="AN58" s="2" t="str">
        <f>IFERROR(INDEX(measureables!$A:$J,MATCH($A58,measureables!$A:$A,FALSE),8), "")</f>
        <v>8'10.5''</v>
      </c>
      <c r="AO58"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59" spans="1:41" ht="22" customHeight="1" x14ac:dyDescent="0.2">
      <c r="A59" t="s">
        <v>239</v>
      </c>
      <c r="B59" s="16" t="s">
        <v>12</v>
      </c>
      <c r="C59" s="3" t="s">
        <v>297</v>
      </c>
      <c r="E59" s="10">
        <f>YEARFRAC(Y59, $E$2, 1)</f>
        <v>21.17869586859134</v>
      </c>
      <c r="F59" s="8">
        <f>IFERROR(LEFT(AK59,FIND("'",AK59)-1)*12+SUBSTITUTE(MID(AK59,FIND("'",AK59)+1,LEN(AK59)),"''",""), "")</f>
        <v>83</v>
      </c>
      <c r="G59" s="8">
        <f>AL59</f>
        <v>235</v>
      </c>
      <c r="H59" s="8" t="str">
        <f>IFERROR(LEFT(AM59,FIND("'",AM59)-1)*12+SUBSTITUTE(MID(AM59,FIND("'",AM59)+1,LEN(AM59)),"''",""), "")</f>
        <v/>
      </c>
      <c r="I59" s="8" t="str">
        <f>IFERROR(LEFT(AN59,FIND("'",AN59)-1)*12+SUBSTITUTE(MID(AN59,FIND("'",AN59)+1,LEN(AN59)),"''",""), "")</f>
        <v/>
      </c>
      <c r="J59" s="8" t="str">
        <f>IFERROR(IF(AND(H59-F59&gt;= 0, H59 &gt; 0), "+", ""),"") &amp; IFERROR(IF(AND(H59-F59&gt;= -5, H59 &gt; 0), H59-F59, ""),"")</f>
        <v/>
      </c>
      <c r="K59" s="10" t="str">
        <f>IF(F59&gt;0, IFERROR((H59-60)/(F59-60),""), "")</f>
        <v/>
      </c>
      <c r="Q59" s="7">
        <v>0</v>
      </c>
      <c r="R59" s="3" t="s">
        <v>443</v>
      </c>
      <c r="S59" s="8">
        <f>IF(Q59=Q58,S58, MAX(S$2:S58)+1)</f>
        <v>8</v>
      </c>
      <c r="T59" s="8">
        <f>IFERROR(INDEX(actual!A:A,MATCH(A59,actual!B:B,FALSE)), "")</f>
        <v>50</v>
      </c>
      <c r="U59" s="8" t="str">
        <f>IFERROR(INDEX(actual!C:C,MATCH(A59,actual!B:B,FALSE)), "")</f>
        <v>PHI</v>
      </c>
      <c r="V59" s="4" t="str">
        <f>HYPERLINK(IF(D59="", "https://www.basketball-reference.com/international", "https://www.sports-reference.com/cbb") &amp; "/players/" &amp; LOWER(SUBSTITUTE(A59, " ", "-") &amp; "-1.html"))</f>
        <v>https://www.basketball-reference.com/international/players/filip-petrusev-1.html</v>
      </c>
      <c r="W59" s="4" t="str">
        <f>HYPERLINK("https://www.nbadraft.net/players/" &amp; LOWER(SUBSTITUTE(A59, " ", "-") &amp; ""))</f>
        <v>https://www.nbadraft.net/players/filip-petrusev</v>
      </c>
      <c r="X59" s="18" t="str">
        <f>HYPERLINK("https://www.nba.com/draft/2021/prospects/" &amp; LOWER(SUBSTITUTE(A59, " ", "-") &amp; ""))</f>
        <v>https://www.nba.com/draft/2021/prospects/filip-petrusev</v>
      </c>
      <c r="Y59" s="11">
        <v>36631</v>
      </c>
      <c r="Z59" s="14">
        <f>RANK(AA59,AA:AA,1)</f>
        <v>52</v>
      </c>
      <c r="AA59" s="13">
        <f>IFERROR( (3*IF(AB59&gt;0,AB59, 76) + 2*IF(AC59&gt;0,AC59, 18) + 2*IF(AD59&gt;0,AD59, 5) + 2*IF(AE59&gt;0,AE59, 70) + 2*IF(AF59&gt;0,AF59, 7)  + IF(AG59&gt;0,AG59, 51) + IF(AI59&gt;0,AI59, 9) +  IF(AH59&gt;0,AH59, 101) + 0.75*IF(AJ59&gt;0,AJ59, 101)), 99)</f>
        <v>476.75</v>
      </c>
      <c r="AB59" s="14">
        <v>47</v>
      </c>
      <c r="AG59" s="14">
        <v>44</v>
      </c>
      <c r="AH59" s="14">
        <v>58</v>
      </c>
      <c r="AI59" s="14">
        <v>6</v>
      </c>
      <c r="AJ59" s="14">
        <v>37</v>
      </c>
      <c r="AK59" s="2" t="str">
        <f>IFERROR(INDEX(measureables!$A:$J,MATCH($A59,measureables!$A:$A,FALSE),7), "")</f>
        <v>6'11</v>
      </c>
      <c r="AL59" s="2">
        <f>IFERROR(INDEX(measureables!$A:$J,MATCH($A59,measureables!$A:$A,FALSE),9), "")</f>
        <v>235</v>
      </c>
      <c r="AM59" s="2">
        <f>IFERROR(INDEX(measureables!$A:$J,MATCH($A59,measureables!$A:$A,FALSE),10), "")</f>
        <v>0</v>
      </c>
      <c r="AN59" s="2">
        <f>IFERROR(INDEX(measureables!$A:$J,MATCH($A59,measureables!$A:$A,FALSE),8), "")</f>
        <v>0</v>
      </c>
      <c r="AO59"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60" spans="1:41" ht="22" customHeight="1" x14ac:dyDescent="0.2">
      <c r="A60" t="s">
        <v>235</v>
      </c>
      <c r="B60" s="16" t="s">
        <v>367</v>
      </c>
      <c r="C60" s="3" t="s">
        <v>311</v>
      </c>
      <c r="D60" s="3" t="s">
        <v>262</v>
      </c>
      <c r="E60" s="10">
        <f>YEARFRAC(Y60, $E$2, 1)</f>
        <v>21.181433549029368</v>
      </c>
      <c r="F60" s="8">
        <f>IFERROR(LEFT(AK60,FIND("'",AK60)-1)*12+SUBSTITUTE(MID(AK60,FIND("'",AK60)+1,LEN(AK60)),"''",""), "")</f>
        <v>77</v>
      </c>
      <c r="G60" s="8">
        <f>AL60</f>
        <v>190</v>
      </c>
      <c r="H60" s="8" t="str">
        <f>IFERROR(LEFT(AM60,FIND("'",AM60)-1)*12+SUBSTITUTE(MID(AM60,FIND("'",AM60)+1,LEN(AM60)),"''",""), "")</f>
        <v/>
      </c>
      <c r="I60" s="8" t="str">
        <f>IFERROR(LEFT(AN60,FIND("'",AN60)-1)*12+SUBSTITUTE(MID(AN60,FIND("'",AN60)+1,LEN(AN60)),"''",""), "")</f>
        <v/>
      </c>
      <c r="J60" s="8" t="str">
        <f>IFERROR(IF(AND(H60-F60&gt;= 0, H60 &gt; 0), "+", ""),"") &amp; IFERROR(IF(AND(H60-F60&gt;= -5, H60 &gt; 0), H60-F60, ""),"")</f>
        <v/>
      </c>
      <c r="K60" s="10" t="str">
        <f>IF(F60&gt;0, IFERROR((H60-60)/(F60-60),""), "")</f>
        <v/>
      </c>
      <c r="Q60" s="7">
        <v>0</v>
      </c>
      <c r="R60" s="3" t="s">
        <v>443</v>
      </c>
      <c r="S60" s="8">
        <f>IF(Q60=Q59,S59, MAX(S$2:S59)+1)</f>
        <v>8</v>
      </c>
      <c r="T60" s="8" t="str">
        <f>IFERROR(INDEX(actual!A:A,MATCH(A60,actual!B:B,FALSE)), "")</f>
        <v/>
      </c>
      <c r="U60" s="8" t="str">
        <f>IFERROR(INDEX(actual!C:C,MATCH(A60,actual!B:B,FALSE)), "")</f>
        <v/>
      </c>
      <c r="V60" s="4" t="str">
        <f>HYPERLINK(IF(D60="", "https://www.basketball-reference.com/international", "https://www.sports-reference.com/cbb") &amp; "/players/" &amp; LOWER(SUBSTITUTE(A60, " ", "-") &amp; "-1.html"))</f>
        <v>https://www.sports-reference.com/cbb/players/alan-griffin-1.html</v>
      </c>
      <c r="W60" s="4" t="str">
        <f>HYPERLINK("https://www.nbadraft.net/players/" &amp; LOWER(SUBSTITUTE(A60, " ", "-") &amp; ""))</f>
        <v>https://www.nbadraft.net/players/alan-griffin</v>
      </c>
      <c r="X60" s="18" t="str">
        <f>HYPERLINK("https://www.nba.com/draft/2021/prospects/" &amp; LOWER(SUBSTITUTE(A60, " ", "-") &amp; ""))</f>
        <v>https://www.nba.com/draft/2021/prospects/alan-griffin</v>
      </c>
      <c r="Y60" s="11">
        <v>36630</v>
      </c>
      <c r="Z60" s="14">
        <f>RANK(AA60,AA:AA,1)</f>
        <v>77</v>
      </c>
      <c r="AA60" s="13">
        <f>IFERROR( (3*IF(AB60&gt;0,AB60, 76) + 2*IF(AC60&gt;0,AC60, 18) + 2*IF(AD60&gt;0,AD60, 5) + 2*IF(AE60&gt;0,AE60, 70) + 2*IF(AF60&gt;0,AF60, 7)  + IF(AG60&gt;0,AG60, 51) + IF(AI60&gt;0,AI60, 9) +  IF(AH60&gt;0,AH60, 101) + 0.75*IF(AJ60&gt;0,AJ60, 101)), 99)</f>
        <v>642.75</v>
      </c>
      <c r="AE60" s="14">
        <v>60</v>
      </c>
      <c r="AF60" s="14">
        <v>6</v>
      </c>
      <c r="AK60" s="2" t="str">
        <f>IFERROR(INDEX(measureables!$A:$J,MATCH($A60,measureables!$A:$A,FALSE),7), "")</f>
        <v>6'5</v>
      </c>
      <c r="AL60" s="2">
        <f>IFERROR(INDEX(measureables!$A:$J,MATCH($A60,measureables!$A:$A,FALSE),9), "")</f>
        <v>190</v>
      </c>
      <c r="AM60" s="2">
        <f>IFERROR(INDEX(measureables!$A:$J,MATCH($A60,measureables!$A:$A,FALSE),10), "")</f>
        <v>0</v>
      </c>
      <c r="AN60" s="2">
        <f>IFERROR(INDEX(measureables!$A:$J,MATCH($A60,measureables!$A:$A,FALSE),8), "")</f>
        <v>0</v>
      </c>
      <c r="AO60"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61" spans="1:41" ht="22" customHeight="1" x14ac:dyDescent="0.2">
      <c r="A61" t="s">
        <v>182</v>
      </c>
      <c r="B61" s="16" t="s">
        <v>367</v>
      </c>
      <c r="C61" s="3" t="s">
        <v>459</v>
      </c>
      <c r="D61" s="3" t="s">
        <v>262</v>
      </c>
      <c r="E61" s="10">
        <f>YEARFRAC(Y61, $E$2, 1)</f>
        <v>21.238924838227977</v>
      </c>
      <c r="F61" s="8">
        <f>IFERROR(LEFT(AK61,FIND("'",AK61)-1)*12+SUBSTITUTE(MID(AK61,FIND("'",AK61)+1,LEN(AK61)),"''",""), "")</f>
        <v>75.75</v>
      </c>
      <c r="G61" s="8">
        <f>AL61</f>
        <v>196.8</v>
      </c>
      <c r="H61" s="8">
        <f>IFERROR(LEFT(AM61,FIND("'",AM61)-1)*12+SUBSTITUTE(MID(AM61,FIND("'",AM61)+1,LEN(AM61)),"''",""), "")</f>
        <v>79.75</v>
      </c>
      <c r="I61" s="8">
        <f>IFERROR(LEFT(AN61,FIND("'",AN61)-1)*12+SUBSTITUTE(MID(AN61,FIND("'",AN61)+1,LEN(AN61)),"''",""), "")</f>
        <v>101</v>
      </c>
      <c r="J61" s="8" t="str">
        <f>IFERROR(IF(AND(H61-F61&gt;= 0, H61 &gt; 0), "+", ""),"") &amp; IFERROR(IF(AND(H61-F61&gt;= -5, H61 &gt; 0), H61-F61, ""),"")</f>
        <v>+4</v>
      </c>
      <c r="K61" s="10">
        <f>IF(F61&gt;0, IFERROR((H61-60)/(F61-60),""), "")</f>
        <v>1.253968253968254</v>
      </c>
      <c r="Q61" s="7">
        <v>0</v>
      </c>
      <c r="R61" s="3" t="s">
        <v>443</v>
      </c>
      <c r="S61" s="8">
        <f>IF(Q61=Q60,S60, MAX(S$2:S60)+1)</f>
        <v>8</v>
      </c>
      <c r="T61" s="8" t="str">
        <f>IFERROR(INDEX(actual!A:A,MATCH(A61,actual!B:B,FALSE)), "")</f>
        <v/>
      </c>
      <c r="U61" s="8" t="str">
        <f>IFERROR(INDEX(actual!C:C,MATCH(A61,actual!B:B,FALSE)), "")</f>
        <v/>
      </c>
      <c r="V61" s="17" t="s">
        <v>458</v>
      </c>
      <c r="W61" s="17" t="s">
        <v>457</v>
      </c>
      <c r="X61" s="17"/>
      <c r="Y61" s="11">
        <v>36609</v>
      </c>
      <c r="Z61" s="14">
        <f>RANK(AA61,AA:AA,1)</f>
        <v>72</v>
      </c>
      <c r="AA61" s="13">
        <f>IFERROR( (3*IF(AB61&gt;0,AB61, 76) + 2*IF(AC61&gt;0,AC61, 18) + 2*IF(AD61&gt;0,AD61, 5) + 2*IF(AE61&gt;0,AE61, 70) + 2*IF(AF61&gt;0,AF61, 7)  + IF(AG61&gt;0,AG61, 51) + IF(AI61&gt;0,AI61, 9) +  IF(AH61&gt;0,AH61, 101) + 0.75*IF(AJ61&gt;0,AJ61, 101)), 99)</f>
        <v>602.25</v>
      </c>
      <c r="AB61" s="14">
        <v>66</v>
      </c>
      <c r="AH61" s="14">
        <v>92</v>
      </c>
      <c r="AI61" s="14">
        <v>8</v>
      </c>
      <c r="AJ61" s="14">
        <v>71</v>
      </c>
      <c r="AK61" s="2" t="str">
        <f>IFERROR(INDEX(measureables!$A:$J,MATCH($A61,measureables!$A:$A,FALSE),7), "")</f>
        <v>6'3.75''</v>
      </c>
      <c r="AL61" s="2">
        <f>IFERROR(INDEX(measureables!$A:$J,MATCH($A61,measureables!$A:$A,FALSE),9), "")</f>
        <v>196.8</v>
      </c>
      <c r="AM61" s="2" t="str">
        <f>IFERROR(INDEX(measureables!$A:$J,MATCH($A61,measureables!$A:$A,FALSE),10), "")</f>
        <v>6'7.75''</v>
      </c>
      <c r="AN61" s="2" t="str">
        <f>IFERROR(INDEX(measureables!$A:$J,MATCH($A61,measureables!$A:$A,FALSE),8), "")</f>
        <v>8'5.0''</v>
      </c>
      <c r="AO61"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62" spans="1:41" ht="22" customHeight="1" x14ac:dyDescent="0.2">
      <c r="A62" t="s">
        <v>195</v>
      </c>
      <c r="B62" s="16" t="s">
        <v>325</v>
      </c>
      <c r="C62" s="3" t="s">
        <v>278</v>
      </c>
      <c r="D62" s="3" t="s">
        <v>256</v>
      </c>
      <c r="E62" s="10">
        <f>YEARFRAC(Y62, $E$2, 1)</f>
        <v>21.271777003484321</v>
      </c>
      <c r="F62" s="8">
        <f>IFERROR(LEFT(AK62,FIND("'",AK62)-1)*12+SUBSTITUTE(MID(AK62,FIND("'",AK62)+1,LEN(AK62)),"''",""), "")</f>
        <v>77.25</v>
      </c>
      <c r="G62" s="8">
        <f>AL62</f>
        <v>187.6</v>
      </c>
      <c r="H62" s="8">
        <f>IFERROR(LEFT(AM62,FIND("'",AM62)-1)*12+SUBSTITUTE(MID(AM62,FIND("'",AM62)+1,LEN(AM62)),"''",""), "")</f>
        <v>84</v>
      </c>
      <c r="I62" s="8">
        <f>IFERROR(LEFT(AN62,FIND("'",AN62)-1)*12+SUBSTITUTE(MID(AN62,FIND("'",AN62)+1,LEN(AN62)),"''",""), "")</f>
        <v>101.5</v>
      </c>
      <c r="J62" s="8" t="str">
        <f>IFERROR(IF(AND(H62-F62&gt;= 0, H62 &gt; 0), "+", ""),"") &amp; IFERROR(IF(AND(H62-F62&gt;= -5, H62 &gt; 0), H62-F62, ""),"")</f>
        <v>+6.75</v>
      </c>
      <c r="K62" s="10">
        <f>IF(F62&gt;0, IFERROR((H62-60)/(F62-60),""), "")</f>
        <v>1.3913043478260869</v>
      </c>
      <c r="Q62" s="7">
        <v>0</v>
      </c>
      <c r="R62" s="3" t="s">
        <v>443</v>
      </c>
      <c r="S62" s="8">
        <f>IF(Q62=Q61,S61, MAX(S$2:S61)+1)</f>
        <v>8</v>
      </c>
      <c r="T62" s="8">
        <f>IFERROR(INDEX(actual!A:A,MATCH(A62,actual!B:B,FALSE)), "")</f>
        <v>56</v>
      </c>
      <c r="U62" s="8" t="str">
        <f>IFERROR(INDEX(actual!C:C,MATCH(A62,actual!B:B,FALSE)), "")</f>
        <v>CHA</v>
      </c>
      <c r="V62" s="4" t="str">
        <f>HYPERLINK(IF(D62="", "https://www.basketball-reference.com/international", "https://www.sports-reference.com/cbb") &amp; "/players/" &amp; LOWER(SUBSTITUTE(A62, " ", "-") &amp; "-1.html"))</f>
        <v>https://www.sports-reference.com/cbb/players/scottie-lewis-1.html</v>
      </c>
      <c r="W62" s="4" t="str">
        <f>HYPERLINK("https://www.nbadraft.net/players/" &amp; LOWER(SUBSTITUTE(A62, " ", "-") &amp; ""))</f>
        <v>https://www.nbadraft.net/players/scottie-lewis</v>
      </c>
      <c r="X62" s="18" t="str">
        <f>HYPERLINK("https://www.nba.com/draft/2021/prospects/" &amp; LOWER(SUBSTITUTE(A62, " ", "-") &amp; ""))</f>
        <v>https://www.nba.com/draft/2021/prospects/scottie-lewis</v>
      </c>
      <c r="Y62" s="11">
        <v>36597</v>
      </c>
      <c r="Z62" s="14">
        <f>RANK(AA62,AA:AA,1)</f>
        <v>70</v>
      </c>
      <c r="AA62" s="13">
        <f>IFERROR( (3*IF(AB62&gt;0,AB62, 76) + 2*IF(AC62&gt;0,AC62, 18) + 2*IF(AD62&gt;0,AD62, 5) + 2*IF(AE62&gt;0,AE62, 70) + 2*IF(AF62&gt;0,AF62, 7)  + IF(AG62&gt;0,AG62, 51) + IF(AI62&gt;0,AI62, 9) +  IF(AH62&gt;0,AH62, 101) + 0.75*IF(AJ62&gt;0,AJ62, 101)), 99)</f>
        <v>591.25</v>
      </c>
      <c r="AE62" s="14">
        <v>57</v>
      </c>
      <c r="AF62" s="14">
        <v>6</v>
      </c>
      <c r="AH62" s="14">
        <v>77</v>
      </c>
      <c r="AI62" s="14">
        <v>7</v>
      </c>
      <c r="AJ62" s="14">
        <v>75</v>
      </c>
      <c r="AK62" s="2" t="str">
        <f>IFERROR(INDEX(measureables!$A:$J,MATCH($A62,measureables!$A:$A,FALSE),7), "")</f>
        <v>6'5.25''</v>
      </c>
      <c r="AL62" s="2">
        <f>IFERROR(INDEX(measureables!$A:$J,MATCH($A62,measureables!$A:$A,FALSE),9), "")</f>
        <v>187.6</v>
      </c>
      <c r="AM62" s="2" t="str">
        <f>IFERROR(INDEX(measureables!$A:$J,MATCH($A62,measureables!$A:$A,FALSE),10), "")</f>
        <v>7'0.0''</v>
      </c>
      <c r="AN62" s="2" t="str">
        <f>IFERROR(INDEX(measureables!$A:$J,MATCH($A62,measureables!$A:$A,FALSE),8), "")</f>
        <v>8'5.5''</v>
      </c>
      <c r="AO62"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63" spans="1:41" ht="22" customHeight="1" x14ac:dyDescent="0.2">
      <c r="A63" t="s">
        <v>248</v>
      </c>
      <c r="B63" s="16" t="s">
        <v>355</v>
      </c>
      <c r="C63" s="3" t="s">
        <v>252</v>
      </c>
      <c r="D63" s="3" t="s">
        <v>262</v>
      </c>
      <c r="E63" s="10">
        <f>YEARFRAC(Y63, $E$2, 1)</f>
        <v>21.290940766550523</v>
      </c>
      <c r="F63" s="8">
        <f>IFERROR(LEFT(AK63,FIND("'",AK63)-1)*12+SUBSTITUTE(MID(AK63,FIND("'",AK63)+1,LEN(AK63)),"''",""), "")</f>
        <v>76</v>
      </c>
      <c r="G63" s="8">
        <f>AL63</f>
        <v>180</v>
      </c>
      <c r="H63" s="8" t="str">
        <f>IFERROR(LEFT(AM63,FIND("'",AM63)-1)*12+SUBSTITUTE(MID(AM63,FIND("'",AM63)+1,LEN(AM63)),"''",""), "")</f>
        <v/>
      </c>
      <c r="I63" s="8" t="str">
        <f>IFERROR(LEFT(AN63,FIND("'",AN63)-1)*12+SUBSTITUTE(MID(AN63,FIND("'",AN63)+1,LEN(AN63)),"''",""), "")</f>
        <v/>
      </c>
      <c r="J63" s="8" t="str">
        <f>IFERROR(IF(AND(H63-F63&gt;= 0, H63 &gt; 0), "+", ""),"") &amp; IFERROR(IF(AND(H63-F63&gt;= -5, H63 &gt; 0), H63-F63, ""),"")</f>
        <v/>
      </c>
      <c r="K63" s="10" t="str">
        <f>IF(F63&gt;0, IFERROR((H63-60)/(F63-60),""), "")</f>
        <v/>
      </c>
      <c r="Q63" s="7">
        <v>0</v>
      </c>
      <c r="R63" s="3" t="s">
        <v>443</v>
      </c>
      <c r="S63" s="8">
        <f>IF(Q63=Q62,S62, MAX(S$2:S62)+1)</f>
        <v>8</v>
      </c>
      <c r="T63" s="8" t="str">
        <f>IFERROR(INDEX(actual!A:A,MATCH(A63,actual!B:B,FALSE)), "")</f>
        <v/>
      </c>
      <c r="U63" s="8" t="str">
        <f>IFERROR(INDEX(actual!C:C,MATCH(A63,actual!B:B,FALSE)), "")</f>
        <v/>
      </c>
      <c r="V63" s="4" t="str">
        <f>HYPERLINK(IF(D63="", "https://www.basketball-reference.com/international", "https://www.sports-reference.com/cbb") &amp; "/players/" &amp; LOWER(SUBSTITUTE(A63, " ", "-") &amp; "-1.html"))</f>
        <v>https://www.sports-reference.com/cbb/players/joel-ayayi-1.html</v>
      </c>
      <c r="W63" s="4" t="str">
        <f>HYPERLINK("https://www.nbadraft.net/players/" &amp; LOWER(SUBSTITUTE(A63, " ", "-") &amp; ""))</f>
        <v>https://www.nbadraft.net/players/joel-ayayi</v>
      </c>
      <c r="X63" s="18" t="str">
        <f>HYPERLINK("https://www.nba.com/draft/2021/prospects/" &amp; LOWER(SUBSTITUTE(A63, " ", "-") &amp; ""))</f>
        <v>https://www.nba.com/draft/2021/prospects/joel-ayayi</v>
      </c>
      <c r="Y63" s="11">
        <v>36590</v>
      </c>
      <c r="Z63" s="14">
        <f>RANK(AA63,AA:AA,1)</f>
        <v>56</v>
      </c>
      <c r="AA63" s="13">
        <f>IFERROR( (3*IF(AB63&gt;0,AB63, 76) + 2*IF(AC63&gt;0,AC63, 18) + 2*IF(AD63&gt;0,AD63, 5) + 2*IF(AE63&gt;0,AE63, 70) + 2*IF(AF63&gt;0,AF63, 7)  + IF(AG63&gt;0,AG63, 51) + IF(AI63&gt;0,AI63, 9) +  IF(AH63&gt;0,AH63, 101) + 0.75*IF(AJ63&gt;0,AJ63, 101)), 99)</f>
        <v>508.25</v>
      </c>
      <c r="AB63" s="14">
        <v>55</v>
      </c>
      <c r="AH63" s="14">
        <v>51</v>
      </c>
      <c r="AI63" s="14">
        <v>6</v>
      </c>
      <c r="AJ63" s="14">
        <v>47</v>
      </c>
      <c r="AK63" s="2" t="str">
        <f>IFERROR(INDEX(measureables!$A:$J,MATCH($A63,measureables!$A:$A,FALSE),7), "")</f>
        <v>6'4</v>
      </c>
      <c r="AL63" s="2">
        <f>IFERROR(INDEX(measureables!$A:$J,MATCH($A63,measureables!$A:$A,FALSE),9), "")</f>
        <v>180</v>
      </c>
      <c r="AM63" s="2">
        <f>IFERROR(INDEX(measureables!$A:$J,MATCH($A63,measureables!$A:$A,FALSE),10), "")</f>
        <v>0</v>
      </c>
      <c r="AN63" s="2">
        <f>IFERROR(INDEX(measureables!$A:$J,MATCH($A63,measureables!$A:$A,FALSE),8), "")</f>
        <v>0</v>
      </c>
      <c r="AO63"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64" spans="1:41" ht="22" customHeight="1" x14ac:dyDescent="0.2">
      <c r="A64" t="s">
        <v>231</v>
      </c>
      <c r="B64" s="16" t="s">
        <v>423</v>
      </c>
      <c r="C64" s="3" t="s">
        <v>455</v>
      </c>
      <c r="D64" s="3" t="s">
        <v>265</v>
      </c>
      <c r="E64" s="10">
        <f>YEARFRAC(Y64, $E$2, 1)</f>
        <v>21.488751339126296</v>
      </c>
      <c r="F64" s="8" t="str">
        <f>IFERROR(LEFT(AK64,FIND("'",AK64)-1)*12+SUBSTITUTE(MID(AK64,FIND("'",AK64)+1,LEN(AK64)),"''",""), "")</f>
        <v/>
      </c>
      <c r="G64" s="8">
        <f>AL64</f>
        <v>0</v>
      </c>
      <c r="H64" s="8" t="str">
        <f>IFERROR(LEFT(AM64,FIND("'",AM64)-1)*12+SUBSTITUTE(MID(AM64,FIND("'",AM64)+1,LEN(AM64)),"''",""), "")</f>
        <v/>
      </c>
      <c r="I64" s="8" t="str">
        <f>IFERROR(LEFT(AN64,FIND("'",AN64)-1)*12+SUBSTITUTE(MID(AN64,FIND("'",AN64)+1,LEN(AN64)),"''",""), "")</f>
        <v/>
      </c>
      <c r="J64" s="8" t="str">
        <f>IFERROR(IF(AND(H64-F64&gt;= 0, H64 &gt; 0), "+", ""),"") &amp; IFERROR(IF(AND(H64-F64&gt;= -5, H64 &gt; 0), H64-F64, ""),"")</f>
        <v/>
      </c>
      <c r="K64" s="10" t="str">
        <f>IF(F64&gt;0, IFERROR((H64-60)/(F64-60),""), "")</f>
        <v/>
      </c>
      <c r="Q64" s="7">
        <v>0</v>
      </c>
      <c r="R64" s="3" t="s">
        <v>443</v>
      </c>
      <c r="S64" s="8">
        <f>IF(Q64=Q63,S63, MAX(S$2:S63)+1)</f>
        <v>8</v>
      </c>
      <c r="T64" s="8" t="str">
        <f>IFERROR(INDEX(actual!A:A,MATCH(A64,actual!B:B,FALSE)), "")</f>
        <v/>
      </c>
      <c r="U64" s="8" t="str">
        <f>IFERROR(INDEX(actual!C:C,MATCH(A64,actual!B:B,FALSE)), "")</f>
        <v/>
      </c>
      <c r="V64" s="17" t="s">
        <v>456</v>
      </c>
      <c r="W64" s="4" t="str">
        <f>HYPERLINK("https://www.nbadraft.net/players/" &amp; LOWER(SUBSTITUTE(A64, " ", "-") &amp; ""))</f>
        <v>https://www.nbadraft.net/players/chris-smith</v>
      </c>
      <c r="X64" s="18"/>
      <c r="Y64" s="11">
        <v>36518</v>
      </c>
      <c r="Z64" s="14">
        <f>RANK(AA64,AA:AA,1)</f>
        <v>68</v>
      </c>
      <c r="AA64" s="13">
        <f>IFERROR( (3*IF(AB64&gt;0,AB64, 76) + 2*IF(AC64&gt;0,AC64, 18) + 2*IF(AD64&gt;0,AD64, 5) + 2*IF(AE64&gt;0,AE64, 70) + 2*IF(AF64&gt;0,AF64, 7)  + IF(AG64&gt;0,AG64, 51) + IF(AI64&gt;0,AI64, 9) +  IF(AH64&gt;0,AH64, 101) + 0.75*IF(AJ64&gt;0,AJ64, 101)), 99)</f>
        <v>571.75</v>
      </c>
      <c r="AB64" s="14">
        <v>56</v>
      </c>
      <c r="AH64" s="14">
        <v>70</v>
      </c>
      <c r="AI64" s="14">
        <v>7</v>
      </c>
      <c r="AK64" s="2">
        <f>IFERROR(INDEX(measureables!$A:$J,MATCH($A64,measureables!$A:$A,FALSE),7), "")</f>
        <v>0</v>
      </c>
      <c r="AL64" s="2">
        <f>IFERROR(INDEX(measureables!$A:$J,MATCH($A64,measureables!$A:$A,FALSE),9), "")</f>
        <v>0</v>
      </c>
      <c r="AM64" s="2">
        <f>IFERROR(INDEX(measureables!$A:$J,MATCH($A64,measureables!$A:$A,FALSE),10), "")</f>
        <v>0</v>
      </c>
      <c r="AN64" s="2">
        <f>IFERROR(INDEX(measureables!$A:$J,MATCH($A64,measureables!$A:$A,FALSE),8), "")</f>
        <v>0</v>
      </c>
      <c r="AO64"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65" spans="1:41" ht="22" customHeight="1" x14ac:dyDescent="0.2">
      <c r="A65" t="s">
        <v>159</v>
      </c>
      <c r="B65" s="16" t="s">
        <v>367</v>
      </c>
      <c r="C65" s="3" t="s">
        <v>302</v>
      </c>
      <c r="D65" s="3" t="s">
        <v>262</v>
      </c>
      <c r="E65" s="10">
        <f>YEARFRAC(Y65, $E$2, 1)</f>
        <v>21.685870729675038</v>
      </c>
      <c r="F65" s="8">
        <f>IFERROR(LEFT(AK65,FIND("'",AK65)-1)*12+SUBSTITUTE(MID(AK65,FIND("'",AK65)+1,LEN(AK65)),"''",""), "")</f>
        <v>77.5</v>
      </c>
      <c r="G65" s="8">
        <f>AL65</f>
        <v>203.6</v>
      </c>
      <c r="H65" s="8">
        <f>IFERROR(LEFT(AM65,FIND("'",AM65)-1)*12+SUBSTITUTE(MID(AM65,FIND("'",AM65)+1,LEN(AM65)),"''",""), "")</f>
        <v>80.75</v>
      </c>
      <c r="I65" s="8">
        <f>IFERROR(LEFT(AN65,FIND("'",AN65)-1)*12+SUBSTITUTE(MID(AN65,FIND("'",AN65)+1,LEN(AN65)),"''",""), "")</f>
        <v>102.5</v>
      </c>
      <c r="J65" s="8" t="str">
        <f>IFERROR(IF(AND(H65-F65&gt;= 0, H65 &gt; 0), "+", ""),"") &amp; IFERROR(IF(AND(H65-F65&gt;= -5, H65 &gt; 0), H65-F65, ""),"")</f>
        <v>+3.25</v>
      </c>
      <c r="K65" s="10">
        <f>IF(F65&gt;0, IFERROR((H65-60)/(F65-60),""), "")</f>
        <v>1.1857142857142857</v>
      </c>
      <c r="Q65" s="7">
        <v>0</v>
      </c>
      <c r="R65" s="3" t="s">
        <v>443</v>
      </c>
      <c r="S65" s="8">
        <f>IF(Q65=Q64,S64, MAX(S$2:S64)+1)</f>
        <v>8</v>
      </c>
      <c r="T65" s="8" t="str">
        <f>IFERROR(INDEX(actual!A:A,MATCH(A65,actual!B:B,FALSE)), "")</f>
        <v/>
      </c>
      <c r="U65" s="8" t="str">
        <f>IFERROR(INDEX(actual!C:C,MATCH(A65,actual!B:B,FALSE)), "")</f>
        <v/>
      </c>
      <c r="V65" s="17" t="s">
        <v>448</v>
      </c>
      <c r="W65" s="17" t="s">
        <v>449</v>
      </c>
      <c r="X65" s="17" t="s">
        <v>301</v>
      </c>
      <c r="Y65" s="11">
        <v>36446</v>
      </c>
      <c r="Z65" s="14">
        <f>RANK(AA65,AA:AA,1)</f>
        <v>60</v>
      </c>
      <c r="AA65" s="13">
        <f>IFERROR( (3*IF(AB65&gt;0,AB65, 76) + 2*IF(AC65&gt;0,AC65, 18) + 2*IF(AD65&gt;0,AD65, 5) + 2*IF(AE65&gt;0,AE65, 70) + 2*IF(AF65&gt;0,AF65, 7)  + IF(AG65&gt;0,AG65, 51) + IF(AI65&gt;0,AI65, 9) +  IF(AH65&gt;0,AH65, 101) + 0.75*IF(AJ65&gt;0,AJ65, 101)), 99)</f>
        <v>510</v>
      </c>
      <c r="AB65" s="14">
        <v>62</v>
      </c>
      <c r="AH65" s="14">
        <v>63</v>
      </c>
      <c r="AI65" s="14">
        <v>7</v>
      </c>
      <c r="AJ65" s="14">
        <v>4</v>
      </c>
      <c r="AK65" s="2" t="str">
        <f>IFERROR(INDEX(measureables!$A:$J,MATCH($A65,measureables!$A:$A,FALSE),7), "")</f>
        <v>6'5.5''</v>
      </c>
      <c r="AL65" s="2">
        <f>IFERROR(INDEX(measureables!$A:$J,MATCH($A65,measureables!$A:$A,FALSE),9), "")</f>
        <v>203.6</v>
      </c>
      <c r="AM65" s="2" t="str">
        <f>IFERROR(INDEX(measureables!$A:$J,MATCH($A65,measureables!$A:$A,FALSE),10), "")</f>
        <v>6'8.75''</v>
      </c>
      <c r="AN65" s="2" t="str">
        <f>IFERROR(INDEX(measureables!$A:$J,MATCH($A65,measureables!$A:$A,FALSE),8), "")</f>
        <v>8'6.5''</v>
      </c>
      <c r="AO65"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66" spans="1:41" ht="22" customHeight="1" x14ac:dyDescent="0.2">
      <c r="A66" t="s">
        <v>51</v>
      </c>
      <c r="B66" s="16" t="s">
        <v>361</v>
      </c>
      <c r="C66" s="3" t="s">
        <v>21</v>
      </c>
      <c r="D66" s="3" t="s">
        <v>262</v>
      </c>
      <c r="E66" s="10">
        <f>YEARFRAC(Y66, $E$2, 1)</f>
        <v>21.954172122366387</v>
      </c>
      <c r="F66" s="8">
        <f>IFERROR(LEFT(AK66,FIND("'",AK66)-1)*12+SUBSTITUTE(MID(AK66,FIND("'",AK66)+1,LEN(AK66)),"''",""), "")</f>
        <v>79.75</v>
      </c>
      <c r="G66" s="8">
        <f>AL66</f>
        <v>268.60000000000002</v>
      </c>
      <c r="H66" s="8">
        <f>IFERROR(LEFT(AM66,FIND("'",AM66)-1)*12+SUBSTITUTE(MID(AM66,FIND("'",AM66)+1,LEN(AM66)),"''",""), "")</f>
        <v>82.75</v>
      </c>
      <c r="I66" s="8">
        <f>IFERROR(LEFT(AN66,FIND("'",AN66)-1)*12+SUBSTITUTE(MID(AN66,FIND("'",AN66)+1,LEN(AN66)),"''",""), "")</f>
        <v>105</v>
      </c>
      <c r="J66" s="8" t="str">
        <f>IFERROR(IF(AND(H66-F66&gt;= 0, H66 &gt; 0), "+", ""),"") &amp; IFERROR(IF(AND(H66-F66&gt;= -5, H66 &gt; 0), H66-F66, ""),"")</f>
        <v>+3</v>
      </c>
      <c r="K66" s="10">
        <f>IF(F66&gt;0, IFERROR((H66-60)/(F66-60),""), "")</f>
        <v>1.1518987341772151</v>
      </c>
      <c r="Q66" s="7">
        <v>0</v>
      </c>
      <c r="R66" s="3" t="s">
        <v>443</v>
      </c>
      <c r="S66" s="8">
        <f>IF(Q66=Q65,S65, MAX(S$2:S65)+1)</f>
        <v>8</v>
      </c>
      <c r="T66" s="8" t="str">
        <f>IFERROR(INDEX(actual!A:A,MATCH(A66,actual!B:B,FALSE)), "")</f>
        <v/>
      </c>
      <c r="U66" s="8" t="str">
        <f>IFERROR(INDEX(actual!C:C,MATCH(A66,actual!B:B,FALSE)), "")</f>
        <v/>
      </c>
      <c r="V66" s="4" t="str">
        <f>HYPERLINK(IF(D66="", "https://www.basketball-reference.com/international", "https://www.sports-reference.com/cbb") &amp; "/players/" &amp; LOWER(SUBSTITUTE(A66, " ", "-") &amp; "-1.html"))</f>
        <v>https://www.sports-reference.com/cbb/players/raiquan-gray-1.html</v>
      </c>
      <c r="W66" s="4" t="str">
        <f>HYPERLINK("https://www.nbadraft.net/players/" &amp; LOWER(SUBSTITUTE(A66, " ", "-") &amp; ""))</f>
        <v>https://www.nbadraft.net/players/raiquan-gray</v>
      </c>
      <c r="X66" s="18" t="str">
        <f>HYPERLINK("https://www.nba.com/draft/2021/prospects/" &amp; LOWER(SUBSTITUTE(A66, " ", "-") &amp; ""))</f>
        <v>https://www.nba.com/draft/2021/prospects/raiquan-gray</v>
      </c>
      <c r="Y66" s="11">
        <v>36348</v>
      </c>
      <c r="Z66" s="14">
        <f>RANK(AA66,AA:AA,1)</f>
        <v>48</v>
      </c>
      <c r="AA66" s="13">
        <f>IFERROR( (3*IF(AB66&gt;0,AB66, 76) + 2*IF(AC66&gt;0,AC66, 18) + 2*IF(AD66&gt;0,AD66, 5) + 2*IF(AE66&gt;0,AE66, 70) + 2*IF(AF66&gt;0,AF66, 7)  + IF(AG66&gt;0,AG66, 51) + IF(AI66&gt;0,AI66, 9) +  IF(AH66&gt;0,AH66, 101) + 0.75*IF(AJ66&gt;0,AJ66, 101)), 99)</f>
        <v>447.5</v>
      </c>
      <c r="AB66" s="14">
        <v>38</v>
      </c>
      <c r="AE66" s="14">
        <v>58</v>
      </c>
      <c r="AF66" s="14">
        <v>6</v>
      </c>
      <c r="AH66" s="14">
        <v>62</v>
      </c>
      <c r="AI66" s="14">
        <v>6</v>
      </c>
      <c r="AJ66" s="14">
        <v>54</v>
      </c>
      <c r="AK66" s="2" t="str">
        <f>IFERROR(INDEX(measureables!$A:$J,MATCH($A66,measureables!$A:$A,FALSE),7), "")</f>
        <v>6'7.75''</v>
      </c>
      <c r="AL66" s="2">
        <f>IFERROR(INDEX(measureables!$A:$J,MATCH($A66,measureables!$A:$A,FALSE),9), "")</f>
        <v>268.60000000000002</v>
      </c>
      <c r="AM66" s="2" t="str">
        <f>IFERROR(INDEX(measureables!$A:$J,MATCH($A66,measureables!$A:$A,FALSE),10), "")</f>
        <v>6'10.75''</v>
      </c>
      <c r="AN66" s="2" t="str">
        <f>IFERROR(INDEX(measureables!$A:$J,MATCH($A66,measureables!$A:$A,FALSE),8), "")</f>
        <v>8'9.0''</v>
      </c>
      <c r="AO66"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67" spans="1:41" ht="22" customHeight="1" x14ac:dyDescent="0.2">
      <c r="A67" t="s">
        <v>107</v>
      </c>
      <c r="B67" s="16" t="s">
        <v>12</v>
      </c>
      <c r="C67" s="3" t="s">
        <v>308</v>
      </c>
      <c r="D67" s="3" t="s">
        <v>265</v>
      </c>
      <c r="E67" s="10">
        <f>YEARFRAC(Y67, $E$2, 1)</f>
        <v>22.077371741459352</v>
      </c>
      <c r="F67" s="8">
        <f>IFERROR(LEFT(AK67,FIND("'",AK67)-1)*12+SUBSTITUTE(MID(AK67,FIND("'",AK67)+1,LEN(AK67)),"''",""), "")</f>
        <v>82</v>
      </c>
      <c r="G67" s="8">
        <f>AL67</f>
        <v>239.8</v>
      </c>
      <c r="H67" s="8">
        <f>IFERROR(LEFT(AM67,FIND("'",AM67)-1)*12+SUBSTITUTE(MID(AM67,FIND("'",AM67)+1,LEN(AM67)),"''",""), "")</f>
        <v>85.25</v>
      </c>
      <c r="I67" s="8">
        <f>IFERROR(LEFT(AN67,FIND("'",AN67)-1)*12+SUBSTITUTE(MID(AN67,FIND("'",AN67)+1,LEN(AN67)),"''",""), "")</f>
        <v>106.5</v>
      </c>
      <c r="J67" s="8" t="str">
        <f>IFERROR(IF(AND(H67-F67&gt;= 0, H67 &gt; 0), "+", ""),"") &amp; IFERROR(IF(AND(H67-F67&gt;= -5, H67 &gt; 0), H67-F67, ""),"")</f>
        <v>+3.25</v>
      </c>
      <c r="K67" s="10">
        <f>IF(F67&gt;0, IFERROR((H67-60)/(F67-60),""), "")</f>
        <v>1.1477272727272727</v>
      </c>
      <c r="Q67" s="7">
        <v>0</v>
      </c>
      <c r="R67" s="3" t="s">
        <v>443</v>
      </c>
      <c r="S67" s="8">
        <f>IF(Q67=Q66,S66, MAX(S$2:S66)+1)</f>
        <v>8</v>
      </c>
      <c r="T67" s="8">
        <f>IFERROR(INDEX(actual!A:A,MATCH(A67,actual!B:B,FALSE)), "")</f>
        <v>54</v>
      </c>
      <c r="U67" s="8" t="str">
        <f>IFERROR(INDEX(actual!C:C,MATCH(A67,actual!B:B,FALSE)), "")</f>
        <v>MIL</v>
      </c>
      <c r="V67" s="4" t="str">
        <f>HYPERLINK(IF(D67="", "https://www.basketball-reference.com/international", "https://www.sports-reference.com/cbb") &amp; "/players/" &amp; LOWER(SUBSTITUTE(A67, " ", "-") &amp; "-1.html"))</f>
        <v>https://www.sports-reference.com/cbb/players/sandro-mamukelashvili-1.html</v>
      </c>
      <c r="W67" s="4" t="str">
        <f>HYPERLINK("https://www.nbadraft.net/players/" &amp; LOWER(SUBSTITUTE(A67, " ", "-") &amp; ""))</f>
        <v>https://www.nbadraft.net/players/sandro-mamukelashvili</v>
      </c>
      <c r="X67" s="18" t="str">
        <f>HYPERLINK("https://www.nba.com/draft/2021/prospects/" &amp; LOWER(SUBSTITUTE(A67, " ", "-") &amp; ""))</f>
        <v>https://www.nba.com/draft/2021/prospects/sandro-mamukelashvili</v>
      </c>
      <c r="Y67" s="11">
        <v>36303</v>
      </c>
      <c r="Z67" s="14">
        <f>RANK(AA67,AA:AA,1)</f>
        <v>66</v>
      </c>
      <c r="AA67" s="13">
        <f>IFERROR( (3*IF(AB67&gt;0,AB67, 76) + 2*IF(AC67&gt;0,AC67, 18) + 2*IF(AD67&gt;0,AD67, 5) + 2*IF(AE67&gt;0,AE67, 70) + 2*IF(AF67&gt;0,AF67, 7)  + IF(AG67&gt;0,AG67, 51) + IF(AI67&gt;0,AI67, 9) +  IF(AH67&gt;0,AH67, 101) + 0.75*IF(AJ67&gt;0,AJ67, 101)), 99)</f>
        <v>563</v>
      </c>
      <c r="AB67" s="14">
        <v>70</v>
      </c>
      <c r="AH67" s="14">
        <v>45</v>
      </c>
      <c r="AI67" s="14">
        <v>6</v>
      </c>
      <c r="AJ67" s="14">
        <v>68</v>
      </c>
      <c r="AK67" s="2" t="str">
        <f>IFERROR(INDEX(measureables!$A:$J,MATCH($A67,measureables!$A:$A,FALSE),7), "")</f>
        <v>6'10.0''</v>
      </c>
      <c r="AL67" s="2">
        <f>IFERROR(INDEX(measureables!$A:$J,MATCH($A67,measureables!$A:$A,FALSE),9), "")</f>
        <v>239.8</v>
      </c>
      <c r="AM67" s="2" t="str">
        <f>IFERROR(INDEX(measureables!$A:$J,MATCH($A67,measureables!$A:$A,FALSE),10), "")</f>
        <v>7'1.25''</v>
      </c>
      <c r="AN67" s="2" t="str">
        <f>IFERROR(INDEX(measureables!$A:$J,MATCH($A67,measureables!$A:$A,FALSE),8), "")</f>
        <v>8'10.5''</v>
      </c>
      <c r="AO67"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68" spans="1:41" ht="22" customHeight="1" x14ac:dyDescent="0.2">
      <c r="A68" t="s">
        <v>207</v>
      </c>
      <c r="B68" s="16" t="s">
        <v>423</v>
      </c>
      <c r="C68" s="3" t="s">
        <v>260</v>
      </c>
      <c r="D68" s="3" t="s">
        <v>265</v>
      </c>
      <c r="E68" s="10">
        <f>YEARFRAC(Y68, $E$2, 1)</f>
        <v>22.121176050470183</v>
      </c>
      <c r="F68" s="8">
        <f>IFERROR(LEFT(AK68,FIND("'",AK68)-1)*12+SUBSTITUTE(MID(AK68,FIND("'",AK68)+1,LEN(AK68)),"''",""), "")</f>
        <v>78.75</v>
      </c>
      <c r="G68" s="8">
        <f>AL68</f>
        <v>206.4</v>
      </c>
      <c r="H68" s="8">
        <f>IFERROR(LEFT(AM68,FIND("'",AM68)-1)*12+SUBSTITUTE(MID(AM68,FIND("'",AM68)+1,LEN(AM68)),"''",""), "")</f>
        <v>84.75</v>
      </c>
      <c r="I68" s="8">
        <f>IFERROR(LEFT(AN68,FIND("'",AN68)-1)*12+SUBSTITUTE(MID(AN68,FIND("'",AN68)+1,LEN(AN68)),"''",""), "")</f>
        <v>104</v>
      </c>
      <c r="J68" s="8" t="str">
        <f>IFERROR(IF(AND(H68-F68&gt;= 0, H68 &gt; 0), "+", ""),"") &amp; IFERROR(IF(AND(H68-F68&gt;= -5, H68 &gt; 0), H68-F68, ""),"")</f>
        <v>+6</v>
      </c>
      <c r="K68" s="10">
        <f>IF(F68&gt;0, IFERROR((H68-60)/(F68-60),""), "")</f>
        <v>1.32</v>
      </c>
      <c r="Q68" s="7">
        <v>0</v>
      </c>
      <c r="R68" s="3" t="s">
        <v>443</v>
      </c>
      <c r="S68" s="8">
        <f>IF(Q68=Q67,S67, MAX(S$2:S67)+1)</f>
        <v>8</v>
      </c>
      <c r="T68" s="8" t="str">
        <f>IFERROR(INDEX(actual!A:A,MATCH(A68,actual!B:B,FALSE)), "")</f>
        <v/>
      </c>
      <c r="U68" s="8" t="str">
        <f>IFERROR(INDEX(actual!C:C,MATCH(A68,actual!B:B,FALSE)), "")</f>
        <v/>
      </c>
      <c r="V68" s="4" t="str">
        <f>HYPERLINK(IF(D68="", "https://www.basketball-reference.com/international", "https://www.sports-reference.com/cbb") &amp; "/players/" &amp; LOWER(SUBSTITUTE(A68, " ", "-") &amp; "-1.html"))</f>
        <v>https://www.sports-reference.com/cbb/players/yves-pons-1.html</v>
      </c>
      <c r="W68" s="4" t="str">
        <f>HYPERLINK("https://www.nbadraft.net/players/" &amp; LOWER(SUBSTITUTE(A68, " ", "-") &amp; ""))</f>
        <v>https://www.nbadraft.net/players/yves-pons</v>
      </c>
      <c r="X68" s="18" t="str">
        <f>HYPERLINK("https://www.nba.com/draft/2021/prospects/" &amp; LOWER(SUBSTITUTE(A68, " ", "-") &amp; ""))</f>
        <v>https://www.nba.com/draft/2021/prospects/yves-pons</v>
      </c>
      <c r="Y68" s="11">
        <v>36287</v>
      </c>
      <c r="Z68" s="14">
        <f>RANK(AA68,AA:AA,1)</f>
        <v>78</v>
      </c>
      <c r="AA68" s="13">
        <f>IFERROR( (3*IF(AB68&gt;0,AB68, 76) + 2*IF(AC68&gt;0,AC68, 18) + 2*IF(AD68&gt;0,AD68, 5) + 2*IF(AE68&gt;0,AE68, 70) + 2*IF(AF68&gt;0,AF68, 7)  + IF(AG68&gt;0,AG68, 51) + IF(AI68&gt;0,AI68, 9) +  IF(AH68&gt;0,AH68, 101) + 0.75*IF(AJ68&gt;0,AJ68, 101)), 99)</f>
        <v>643.75</v>
      </c>
      <c r="AJ68" s="14">
        <v>73</v>
      </c>
      <c r="AK68" s="2" t="str">
        <f>IFERROR(INDEX(measureables!$A:$J,MATCH($A68,measureables!$A:$A,FALSE),7), "")</f>
        <v>6'6.75''</v>
      </c>
      <c r="AL68" s="2">
        <f>IFERROR(INDEX(measureables!$A:$J,MATCH($A68,measureables!$A:$A,FALSE),9), "")</f>
        <v>206.4</v>
      </c>
      <c r="AM68" s="2" t="str">
        <f>IFERROR(INDEX(measureables!$A:$J,MATCH($A68,measureables!$A:$A,FALSE),10), "")</f>
        <v>7'0.75''</v>
      </c>
      <c r="AN68" s="2" t="str">
        <f>IFERROR(INDEX(measureables!$A:$J,MATCH($A68,measureables!$A:$A,FALSE),8), "")</f>
        <v>8'8.0''</v>
      </c>
      <c r="AO68"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69" spans="1:41" ht="22" customHeight="1" x14ac:dyDescent="0.2">
      <c r="A69" t="s">
        <v>230</v>
      </c>
      <c r="B69" s="16" t="s">
        <v>324</v>
      </c>
      <c r="C69" s="3" t="s">
        <v>447</v>
      </c>
      <c r="D69" s="3" t="s">
        <v>265</v>
      </c>
      <c r="E69" s="10">
        <f>YEARFRAC(Y69, $E$2, 1)</f>
        <v>22.337459826211166</v>
      </c>
      <c r="F69" s="8" t="str">
        <f>IFERROR(LEFT(AK69,FIND("'",AK69)-1)*12+SUBSTITUTE(MID(AK69,FIND("'",AK69)+1,LEN(AK69)),"''",""), "")</f>
        <v/>
      </c>
      <c r="G69" s="8">
        <f>AL69</f>
        <v>0</v>
      </c>
      <c r="H69" s="8" t="str">
        <f>IFERROR(LEFT(AM69,FIND("'",AM69)-1)*12+SUBSTITUTE(MID(AM69,FIND("'",AM69)+1,LEN(AM69)),"''",""), "")</f>
        <v/>
      </c>
      <c r="I69" s="8" t="str">
        <f>IFERROR(LEFT(AN69,FIND("'",AN69)-1)*12+SUBSTITUTE(MID(AN69,FIND("'",AN69)+1,LEN(AN69)),"''",""), "")</f>
        <v/>
      </c>
      <c r="J69" s="8" t="str">
        <f>IFERROR(IF(AND(H69-F69&gt;= 0, H69 &gt; 0), "+", ""),"") &amp; IFERROR(IF(AND(H69-F69&gt;= -5, H69 &gt; 0), H69-F69, ""),"")</f>
        <v/>
      </c>
      <c r="K69" s="10" t="str">
        <f>IF(F69&gt;0, IFERROR((H69-60)/(F69-60),""), "")</f>
        <v/>
      </c>
      <c r="Q69" s="7">
        <v>0</v>
      </c>
      <c r="R69" s="3" t="s">
        <v>443</v>
      </c>
      <c r="S69" s="8">
        <f>IF(Q69=Q68,S68, MAX(S$2:S68)+1)</f>
        <v>8</v>
      </c>
      <c r="T69" s="8" t="str">
        <f>IFERROR(INDEX(actual!A:A,MATCH(A69,actual!B:B,FALSE)), "")</f>
        <v/>
      </c>
      <c r="U69" s="8" t="str">
        <f>IFERROR(INDEX(actual!C:C,MATCH(A69,actual!B:B,FALSE)), "")</f>
        <v/>
      </c>
      <c r="V69" s="4" t="str">
        <f>HYPERLINK(IF(D69="", "https://www.basketball-reference.com/international", "https://www.sports-reference.com/cbb") &amp; "/players/" &amp; LOWER(SUBSTITUTE(A69, " ", "-") &amp; "-1.html"))</f>
        <v>https://www.sports-reference.com/cbb/players/aamir-simms-1.html</v>
      </c>
      <c r="W69" s="4" t="str">
        <f>HYPERLINK("https://www.nbadraft.net/players/" &amp; LOWER(SUBSTITUTE(A69, " ", "-") &amp; ""))</f>
        <v>https://www.nbadraft.net/players/aamir-simms</v>
      </c>
      <c r="X69" s="17"/>
      <c r="Y69" s="11">
        <v>36208</v>
      </c>
      <c r="Z69" s="14">
        <f>RANK(AA69,AA:AA,1)</f>
        <v>58</v>
      </c>
      <c r="AA69" s="13">
        <f>IFERROR( (3*IF(AB69&gt;0,AB69, 76) + 2*IF(AC69&gt;0,AC69, 18) + 2*IF(AD69&gt;0,AD69, 5) + 2*IF(AE69&gt;0,AE69, 70) + 2*IF(AF69&gt;0,AF69, 7)  + IF(AG69&gt;0,AG69, 51) + IF(AI69&gt;0,AI69, 9) +  IF(AH69&gt;0,AH69, 101) + 0.75*IF(AJ69&gt;0,AJ69, 101)), 99)</f>
        <v>509.25</v>
      </c>
      <c r="AB69" s="14">
        <v>41</v>
      </c>
      <c r="AH69" s="14">
        <v>61</v>
      </c>
      <c r="AI69" s="14">
        <v>6</v>
      </c>
      <c r="AJ69" s="14">
        <v>91</v>
      </c>
      <c r="AK69" s="2">
        <f>IFERROR(INDEX(measureables!$A:$J,MATCH($A69,measureables!$A:$A,FALSE),7), "")</f>
        <v>0</v>
      </c>
      <c r="AL69" s="2">
        <f>IFERROR(INDEX(measureables!$A:$J,MATCH($A69,measureables!$A:$A,FALSE),9), "")</f>
        <v>0</v>
      </c>
      <c r="AM69" s="2">
        <f>IFERROR(INDEX(measureables!$A:$J,MATCH($A69,measureables!$A:$A,FALSE),10), "")</f>
        <v>0</v>
      </c>
      <c r="AN69" s="2">
        <f>IFERROR(INDEX(measureables!$A:$J,MATCH($A69,measureables!$A:$A,FALSE),8), "")</f>
        <v>0</v>
      </c>
      <c r="AO69"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70" spans="1:41" ht="22" customHeight="1" x14ac:dyDescent="0.2">
      <c r="A70" t="s">
        <v>187</v>
      </c>
      <c r="B70" s="16" t="s">
        <v>325</v>
      </c>
      <c r="C70" s="3" t="s">
        <v>307</v>
      </c>
      <c r="D70" s="3" t="s">
        <v>262</v>
      </c>
      <c r="E70" s="10">
        <f>YEARFRAC(Y70, $E$2, 1)</f>
        <v>22.463397214617309</v>
      </c>
      <c r="F70" s="8">
        <f>IFERROR(LEFT(AK70,FIND("'",AK70)-1)*12+SUBSTITUTE(MID(AK70,FIND("'",AK70)+1,LEN(AK70)),"''",""), "")</f>
        <v>77</v>
      </c>
      <c r="G70" s="8">
        <f>AL70</f>
        <v>190</v>
      </c>
      <c r="H70" s="8">
        <f>IFERROR(LEFT(AM70,FIND("'",AM70)-1)*12+SUBSTITUTE(MID(AM70,FIND("'",AM70)+1,LEN(AM70)),"''",""), "")</f>
        <v>81.75</v>
      </c>
      <c r="I70" s="8">
        <f>IFERROR(LEFT(AN70,FIND("'",AN70)-1)*12+SUBSTITUTE(MID(AN70,FIND("'",AN70)+1,LEN(AN70)),"''",""), "")</f>
        <v>103</v>
      </c>
      <c r="J70" s="8" t="str">
        <f>IFERROR(IF(AND(H70-F70&gt;= 0, H70 &gt; 0), "+", ""),"") &amp; IFERROR(IF(AND(H70-F70&gt;= -5, H70 &gt; 0), H70-F70, ""),"")</f>
        <v>+4.75</v>
      </c>
      <c r="K70" s="10">
        <f>IF(F70&gt;0, IFERROR((H70-60)/(F70-60),""), "")</f>
        <v>1.2794117647058822</v>
      </c>
      <c r="Q70" s="7">
        <v>0</v>
      </c>
      <c r="R70" s="3" t="s">
        <v>443</v>
      </c>
      <c r="S70" s="8">
        <f>IF(Q70=Q69,S69, MAX(S$2:S69)+1)</f>
        <v>8</v>
      </c>
      <c r="T70" s="8">
        <f>IFERROR(INDEX(actual!A:A,MATCH(A70,actual!B:B,FALSE)), "")</f>
        <v>55</v>
      </c>
      <c r="U70" s="8" t="str">
        <f>IFERROR(INDEX(actual!C:C,MATCH(A70,actual!B:B,FALSE)), "")</f>
        <v>OKC</v>
      </c>
      <c r="V70" s="4" t="str">
        <f>HYPERLINK(IF(D70="", "https://www.basketball-reference.com/international", "https://www.sports-reference.com/cbb") &amp; "/players/" &amp; LOWER(SUBSTITUTE(A70, " ", "-") &amp; "-1.html"))</f>
        <v>https://www.sports-reference.com/cbb/players/aaron-wiggins-1.html</v>
      </c>
      <c r="W70" s="4" t="str">
        <f>HYPERLINK("https://www.nbadraft.net/players/" &amp; LOWER(SUBSTITUTE(A70, " ", "-") &amp; ""))</f>
        <v>https://www.nbadraft.net/players/aaron-wiggins</v>
      </c>
      <c r="X70" s="18" t="str">
        <f>HYPERLINK("https://www.nba.com/draft/2021/prospects/" &amp; LOWER(SUBSTITUTE(A70, " ", "-") &amp; ""))</f>
        <v>https://www.nba.com/draft/2021/prospects/aaron-wiggins</v>
      </c>
      <c r="Y70" s="11">
        <v>36162</v>
      </c>
      <c r="Z70" s="14">
        <f>RANK(AA70,AA:AA,1)</f>
        <v>65</v>
      </c>
      <c r="AA70" s="13">
        <f>IFERROR( (3*IF(AB70&gt;0,AB70, 76) + 2*IF(AC70&gt;0,AC70, 18) + 2*IF(AD70&gt;0,AD70, 5) + 2*IF(AE70&gt;0,AE70, 70) + 2*IF(AF70&gt;0,AF70, 7)  + IF(AG70&gt;0,AG70, 51) + IF(AI70&gt;0,AI70, 9) +  IF(AH70&gt;0,AH70, 101) + 0.75*IF(AJ70&gt;0,AJ70, 101)), 99)</f>
        <v>554</v>
      </c>
      <c r="AB70" s="14">
        <v>65</v>
      </c>
      <c r="AH70" s="14">
        <v>65</v>
      </c>
      <c r="AI70" s="14">
        <v>7</v>
      </c>
      <c r="AJ70" s="14">
        <v>48</v>
      </c>
      <c r="AK70" s="2" t="str">
        <f>IFERROR(INDEX(measureables!$A:$J,MATCH($A70,measureables!$A:$A,FALSE),7), "")</f>
        <v>6'5.0''</v>
      </c>
      <c r="AL70" s="2">
        <f>IFERROR(INDEX(measureables!$A:$J,MATCH($A70,measureables!$A:$A,FALSE),9), "")</f>
        <v>190</v>
      </c>
      <c r="AM70" s="2" t="str">
        <f>IFERROR(INDEX(measureables!$A:$J,MATCH($A70,measureables!$A:$A,FALSE),10), "")</f>
        <v>6'9.75''</v>
      </c>
      <c r="AN70" s="2" t="str">
        <f>IFERROR(INDEX(measureables!$A:$J,MATCH($A70,measureables!$A:$A,FALSE),8), "")</f>
        <v>8'7.0''</v>
      </c>
      <c r="AO70"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71" spans="1:41" ht="22" customHeight="1" x14ac:dyDescent="0.2">
      <c r="A71" t="s">
        <v>75</v>
      </c>
      <c r="B71" s="16" t="s">
        <v>12</v>
      </c>
      <c r="C71" s="3" t="s">
        <v>282</v>
      </c>
      <c r="D71" s="3" t="s">
        <v>265</v>
      </c>
      <c r="E71" s="10">
        <f>YEARFRAC(Y71, $E$2, 1)</f>
        <v>22.480492813141684</v>
      </c>
      <c r="F71" s="8">
        <f>IFERROR(LEFT(AK71,FIND("'",AK71)-1)*12+SUBSTITUTE(MID(AK71,FIND("'",AK71)+1,LEN(AK71)),"''",""), "")</f>
        <v>83.25</v>
      </c>
      <c r="G71" s="8">
        <f>AL71</f>
        <v>242.8</v>
      </c>
      <c r="H71" s="8">
        <f>IFERROR(LEFT(AM71,FIND("'",AM71)-1)*12+SUBSTITUTE(MID(AM71,FIND("'",AM71)+1,LEN(AM71)),"''",""), "")</f>
        <v>85.5</v>
      </c>
      <c r="I71" s="8">
        <f>IFERROR(LEFT(AN71,FIND("'",AN71)-1)*12+SUBSTITUTE(MID(AN71,FIND("'",AN71)+1,LEN(AN71)),"''",""), "")</f>
        <v>107.5</v>
      </c>
      <c r="J71" s="8" t="str">
        <f>IFERROR(IF(AND(H71-F71&gt;= 0, H71 &gt; 0), "+", ""),"") &amp; IFERROR(IF(AND(H71-F71&gt;= -5, H71 &gt; 0), H71-F71, ""),"")</f>
        <v>+2.25</v>
      </c>
      <c r="K71" s="10">
        <f>IF(F71&gt;0, IFERROR((H71-60)/(F71-60),""), "")</f>
        <v>1.096774193548387</v>
      </c>
      <c r="Q71" s="7">
        <v>0</v>
      </c>
      <c r="R71" s="3" t="s">
        <v>443</v>
      </c>
      <c r="S71" s="8">
        <f>IF(Q71=Q70,S70, MAX(S$2:S70)+1)</f>
        <v>8</v>
      </c>
      <c r="T71" s="8">
        <f>IFERROR(INDEX(actual!A:A,MATCH(A71,actual!B:B,FALSE)), "")</f>
        <v>52</v>
      </c>
      <c r="U71" s="8" t="str">
        <f>IFERROR(INDEX(actual!C:C,MATCH(A71,actual!B:B,FALSE)), "")</f>
        <v>DET</v>
      </c>
      <c r="V71" s="4" t="str">
        <f>HYPERLINK(IF(D71="", "https://www.basketball-reference.com/international", "https://www.sports-reference.com/cbb") &amp; "/players/" &amp; LOWER(SUBSTITUTE(A71, " ", "-") &amp; "-1.html"))</f>
        <v>https://www.sports-reference.com/cbb/players/luka-garza-1.html</v>
      </c>
      <c r="W71" s="4" t="str">
        <f>HYPERLINK("https://www.nbadraft.net/players/" &amp; LOWER(SUBSTITUTE(A71, " ", "-") &amp; ""))</f>
        <v>https://www.nbadraft.net/players/luka-garza</v>
      </c>
      <c r="X71" s="18" t="str">
        <f>HYPERLINK("https://www.nba.com/draft/2021/prospects/" &amp; LOWER(SUBSTITUTE(A71, " ", "-") &amp; ""))</f>
        <v>https://www.nba.com/draft/2021/prospects/luka-garza</v>
      </c>
      <c r="Y71" s="11">
        <v>36156</v>
      </c>
      <c r="Z71" s="14">
        <f>RANK(AA71,AA:AA,1)</f>
        <v>54</v>
      </c>
      <c r="AA71" s="13">
        <f>IFERROR( (3*IF(AB71&gt;0,AB71, 76) + 2*IF(AC71&gt;0,AC71, 18) + 2*IF(AD71&gt;0,AD71, 5) + 2*IF(AE71&gt;0,AE71, 70) + 2*IF(AF71&gt;0,AF71, 7)  + IF(AG71&gt;0,AG71, 51) + IF(AI71&gt;0,AI71, 9) +  IF(AH71&gt;0,AH71, 101) + 0.75*IF(AJ71&gt;0,AJ71, 101)), 99)</f>
        <v>504.25</v>
      </c>
      <c r="AB71" s="14">
        <v>50</v>
      </c>
      <c r="AG71" s="14">
        <v>50</v>
      </c>
      <c r="AH71" s="14">
        <v>57</v>
      </c>
      <c r="AI71" s="14">
        <v>6</v>
      </c>
      <c r="AJ71" s="14">
        <v>55</v>
      </c>
      <c r="AK71" s="2" t="str">
        <f>IFERROR(INDEX(measureables!$A:$J,MATCH($A71,measureables!$A:$A,FALSE),7), "")</f>
        <v>6'11.25''</v>
      </c>
      <c r="AL71" s="2">
        <f>IFERROR(INDEX(measureables!$A:$J,MATCH($A71,measureables!$A:$A,FALSE),9), "")</f>
        <v>242.8</v>
      </c>
      <c r="AM71" s="2" t="str">
        <f>IFERROR(INDEX(measureables!$A:$J,MATCH($A71,measureables!$A:$A,FALSE),10), "")</f>
        <v>7'1.5''</v>
      </c>
      <c r="AN71" s="2" t="str">
        <f>IFERROR(INDEX(measureables!$A:$J,MATCH($A71,measureables!$A:$A,FALSE),8), "")</f>
        <v>8'11.5''</v>
      </c>
      <c r="AO71"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72" spans="1:41" ht="22" customHeight="1" x14ac:dyDescent="0.2">
      <c r="A72" t="s">
        <v>167</v>
      </c>
      <c r="B72" s="16" t="s">
        <v>324</v>
      </c>
      <c r="C72" s="3" t="s">
        <v>296</v>
      </c>
      <c r="D72" s="3" t="s">
        <v>265</v>
      </c>
      <c r="E72" s="10">
        <f>YEARFRAC(Y72, $E$2, 1)</f>
        <v>22.491444216290212</v>
      </c>
      <c r="F72" s="8">
        <f>IFERROR(LEFT(AK72,FIND("'",AK72)-1)*12+SUBSTITUTE(MID(AK72,FIND("'",AK72)+1,LEN(AK72)),"''",""), "")</f>
        <v>81</v>
      </c>
      <c r="G72" s="8">
        <f>AL72</f>
        <v>225.8</v>
      </c>
      <c r="H72" s="8">
        <f>IFERROR(LEFT(AM72,FIND("'",AM72)-1)*12+SUBSTITUTE(MID(AM72,FIND("'",AM72)+1,LEN(AM72)),"''",""), "")</f>
        <v>84.75</v>
      </c>
      <c r="I72" s="8">
        <f>IFERROR(LEFT(AN72,FIND("'",AN72)-1)*12+SUBSTITUTE(MID(AN72,FIND("'",AN72)+1,LEN(AN72)),"''",""), "")</f>
        <v>107</v>
      </c>
      <c r="J72" s="8" t="str">
        <f>IFERROR(IF(AND(H72-F72&gt;= 0, H72 &gt; 0), "+", ""),"") &amp; IFERROR(IF(AND(H72-F72&gt;= -5, H72 &gt; 0), H72-F72, ""),"")</f>
        <v>+3.75</v>
      </c>
      <c r="K72" s="10">
        <f>IF(F72&gt;0, IFERROR((H72-60)/(F72-60),""), "")</f>
        <v>1.1785714285714286</v>
      </c>
      <c r="Q72" s="7">
        <v>0</v>
      </c>
      <c r="R72" s="3" t="s">
        <v>443</v>
      </c>
      <c r="S72" s="8">
        <f>IF(Q72=Q71,S71, MAX(S$2:S71)+1)</f>
        <v>8</v>
      </c>
      <c r="T72" s="8" t="str">
        <f>IFERROR(INDEX(actual!A:A,MATCH(A72,actual!B:B,FALSE)), "")</f>
        <v/>
      </c>
      <c r="U72" s="8" t="str">
        <f>IFERROR(INDEX(actual!C:C,MATCH(A72,actual!B:B,FALSE)), "")</f>
        <v/>
      </c>
      <c r="V72" s="4" t="str">
        <f>HYPERLINK(IF(D72="", "https://www.basketball-reference.com/international", "https://www.sports-reference.com/cbb") &amp; "/players/" &amp; LOWER(SUBSTITUTE(A72, " ", "-") &amp; "-1.html"))</f>
        <v>https://www.sports-reference.com/cbb/players/moses-wright-1.html</v>
      </c>
      <c r="W72" s="4" t="str">
        <f>HYPERLINK("https://www.nbadraft.net/players/" &amp; LOWER(SUBSTITUTE(A72, " ", "-") &amp; ""))</f>
        <v>https://www.nbadraft.net/players/moses-wright</v>
      </c>
      <c r="X72" s="18" t="str">
        <f>HYPERLINK("https://www.nba.com/draft/2021/prospects/" &amp; LOWER(SUBSTITUTE(A72, " ", "-") &amp; ""))</f>
        <v>https://www.nba.com/draft/2021/prospects/moses-wright</v>
      </c>
      <c r="Y72" s="11">
        <v>36152</v>
      </c>
      <c r="Z72" s="14">
        <f>RANK(AA72,AA:AA,1)</f>
        <v>51</v>
      </c>
      <c r="AA72" s="13">
        <f>IFERROR( (3*IF(AB72&gt;0,AB72, 76) + 2*IF(AC72&gt;0,AC72, 18) + 2*IF(AD72&gt;0,AD72, 5) + 2*IF(AE72&gt;0,AE72, 70) + 2*IF(AF72&gt;0,AF72, 7)  + IF(AG72&gt;0,AG72, 51) + IF(AI72&gt;0,AI72, 9) +  IF(AH72&gt;0,AH72, 101) + 0.75*IF(AJ72&gt;0,AJ72, 101)), 99)</f>
        <v>453.75</v>
      </c>
      <c r="AB72" s="14">
        <v>48</v>
      </c>
      <c r="AE72" s="14">
        <v>45</v>
      </c>
      <c r="AF72" s="14">
        <v>5</v>
      </c>
      <c r="AH72" s="14">
        <v>49</v>
      </c>
      <c r="AI72" s="14">
        <v>6</v>
      </c>
      <c r="AJ72" s="14">
        <v>77</v>
      </c>
      <c r="AK72" s="2" t="str">
        <f>IFERROR(INDEX(measureables!$A:$J,MATCH($A72,measureables!$A:$A,FALSE),7), "")</f>
        <v>6'9.0''</v>
      </c>
      <c r="AL72" s="2">
        <f>IFERROR(INDEX(measureables!$A:$J,MATCH($A72,measureables!$A:$A,FALSE),9), "")</f>
        <v>225.8</v>
      </c>
      <c r="AM72" s="2" t="str">
        <f>IFERROR(INDEX(measureables!$A:$J,MATCH($A72,measureables!$A:$A,FALSE),10), "")</f>
        <v>7'0.75''</v>
      </c>
      <c r="AN72" s="2" t="str">
        <f>IFERROR(INDEX(measureables!$A:$J,MATCH($A72,measureables!$A:$A,FALSE),8), "")</f>
        <v>8'11.0''</v>
      </c>
      <c r="AO72"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73" spans="1:41" ht="22" customHeight="1" x14ac:dyDescent="0.2">
      <c r="A73" t="s">
        <v>170</v>
      </c>
      <c r="B73" s="16" t="s">
        <v>367</v>
      </c>
      <c r="C73" s="3" t="s">
        <v>279</v>
      </c>
      <c r="D73" s="3" t="s">
        <v>265</v>
      </c>
      <c r="E73" s="10">
        <f>YEARFRAC(Y73, $E$2, 1)</f>
        <v>22.548939082819988</v>
      </c>
      <c r="F73" s="8">
        <f>IFERROR(LEFT(AK73,FIND("'",AK73)-1)*12+SUBSTITUTE(MID(AK73,FIND("'",AK73)+1,LEN(AK73)),"''",""), "")</f>
        <v>77.75</v>
      </c>
      <c r="G73" s="8">
        <f>AL73</f>
        <v>186.2</v>
      </c>
      <c r="H73" s="8">
        <f>IFERROR(LEFT(AM73,FIND("'",AM73)-1)*12+SUBSTITUTE(MID(AM73,FIND("'",AM73)+1,LEN(AM73)),"''",""), "")</f>
        <v>81.5</v>
      </c>
      <c r="I73" s="8">
        <f>IFERROR(LEFT(AN73,FIND("'",AN73)-1)*12+SUBSTITUTE(MID(AN73,FIND("'",AN73)+1,LEN(AN73)),"''",""), "")</f>
        <v>103.5</v>
      </c>
      <c r="J73" s="8" t="str">
        <f>IFERROR(IF(AND(H73-F73&gt;= 0, H73 &gt; 0), "+", ""),"") &amp; IFERROR(IF(AND(H73-F73&gt;= -5, H73 &gt; 0), H73-F73, ""),"")</f>
        <v>+3.75</v>
      </c>
      <c r="K73" s="10">
        <f>IF(F73&gt;0, IFERROR((H73-60)/(F73-60),""), "")</f>
        <v>1.2112676056338028</v>
      </c>
      <c r="Q73" s="7">
        <v>0</v>
      </c>
      <c r="R73" s="3" t="s">
        <v>443</v>
      </c>
      <c r="S73" s="8">
        <f>IF(Q73=Q72,S72, MAX(S$2:S72)+1)</f>
        <v>8</v>
      </c>
      <c r="T73" s="8" t="str">
        <f>IFERROR(INDEX(actual!A:A,MATCH(A73,actual!B:B,FALSE)), "")</f>
        <v/>
      </c>
      <c r="U73" s="8" t="str">
        <f>IFERROR(INDEX(actual!C:C,MATCH(A73,actual!B:B,FALSE)), "")</f>
        <v/>
      </c>
      <c r="V73" s="17" t="s">
        <v>460</v>
      </c>
      <c r="W73" s="17" t="s">
        <v>461</v>
      </c>
      <c r="X73" s="17" t="s">
        <v>310</v>
      </c>
      <c r="Y73" s="11">
        <v>36131</v>
      </c>
      <c r="Z73" s="14">
        <f>RANK(AA73,AA:AA,1)</f>
        <v>76</v>
      </c>
      <c r="AA73" s="13">
        <f>IFERROR( (3*IF(AB73&gt;0,AB73, 76) + 2*IF(AC73&gt;0,AC73, 18) + 2*IF(AD73&gt;0,AD73, 5) + 2*IF(AE73&gt;0,AE73, 70) + 2*IF(AF73&gt;0,AF73, 7)  + IF(AG73&gt;0,AG73, 51) + IF(AI73&gt;0,AI73, 9) +  IF(AH73&gt;0,AH73, 101) + 0.75*IF(AJ73&gt;0,AJ73, 101)), 99)</f>
        <v>641.5</v>
      </c>
      <c r="AJ73" s="14">
        <v>70</v>
      </c>
      <c r="AK73" s="2" t="str">
        <f>IFERROR(INDEX(measureables!$A:$J,MATCH($A73,measureables!$A:$A,FALSE),7), "")</f>
        <v>6'5.75''</v>
      </c>
      <c r="AL73" s="2">
        <f>IFERROR(INDEX(measureables!$A:$J,MATCH($A73,measureables!$A:$A,FALSE),9), "")</f>
        <v>186.2</v>
      </c>
      <c r="AM73" s="2" t="str">
        <f>IFERROR(INDEX(measureables!$A:$J,MATCH($A73,measureables!$A:$A,FALSE),10), "")</f>
        <v>6'9.5''</v>
      </c>
      <c r="AN73" s="2" t="str">
        <f>IFERROR(INDEX(measureables!$A:$J,MATCH($A73,measureables!$A:$A,FALSE),8), "")</f>
        <v>8'7.5''</v>
      </c>
      <c r="AO73"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74" spans="1:41" ht="22" customHeight="1" x14ac:dyDescent="0.2">
      <c r="A74" t="s">
        <v>133</v>
      </c>
      <c r="B74" s="16" t="s">
        <v>15</v>
      </c>
      <c r="C74" s="3" t="s">
        <v>303</v>
      </c>
      <c r="D74" s="3" t="s">
        <v>265</v>
      </c>
      <c r="E74" s="10">
        <f>YEARFRAC(Y74, $E$2, 1)</f>
        <v>22.652977412731005</v>
      </c>
      <c r="F74" s="8">
        <f>IFERROR(LEFT(AK74,FIND("'",AK74)-1)*12+SUBSTITUTE(MID(AK74,FIND("'",AK74)+1,LEN(AK74)),"''",""), "")</f>
        <v>72.25</v>
      </c>
      <c r="G74" s="8">
        <f>AL74</f>
        <v>192.2</v>
      </c>
      <c r="H74" s="8">
        <f>IFERROR(LEFT(AM74,FIND("'",AM74)-1)*12+SUBSTITUTE(MID(AM74,FIND("'",AM74)+1,LEN(AM74)),"''",""), "")</f>
        <v>77.25</v>
      </c>
      <c r="I74" s="8">
        <f>IFERROR(LEFT(AN74,FIND("'",AN74)-1)*12+SUBSTITUTE(MID(AN74,FIND("'",AN74)+1,LEN(AN74)),"''",""), "")</f>
        <v>94</v>
      </c>
      <c r="J74" s="8" t="str">
        <f>IFERROR(IF(AND(H74-F74&gt;= 0, H74 &gt; 0), "+", ""),"") &amp; IFERROR(IF(AND(H74-F74&gt;= -5, H74 &gt; 0), H74-F74, ""),"")</f>
        <v>+5</v>
      </c>
      <c r="K74" s="10">
        <f>IF(F74&gt;0, IFERROR((H74-60)/(F74-60),""), "")</f>
        <v>1.4081632653061225</v>
      </c>
      <c r="Q74" s="7">
        <v>0</v>
      </c>
      <c r="R74" s="3" t="s">
        <v>443</v>
      </c>
      <c r="S74" s="8">
        <f>IF(Q74=Q73,S73, MAX(S$2:S73)+1)</f>
        <v>8</v>
      </c>
      <c r="T74" s="8" t="str">
        <f>IFERROR(INDEX(actual!A:A,MATCH(A74,actual!B:B,FALSE)), "")</f>
        <v/>
      </c>
      <c r="U74" s="8" t="str">
        <f>IFERROR(INDEX(actual!C:C,MATCH(A74,actual!B:B,FALSE)), "")</f>
        <v/>
      </c>
      <c r="V74" s="17" t="s">
        <v>451</v>
      </c>
      <c r="W74" s="17" t="s">
        <v>452</v>
      </c>
      <c r="X74" s="18" t="str">
        <f>HYPERLINK("https://www.nba.com/draft/2021/prospects/" &amp; LOWER(SUBSTITUTE(A74, " ", "-") &amp; ""))</f>
        <v>https://www.nba.com/draft/2021/prospects/mckinley-wright-iv</v>
      </c>
      <c r="Y74" s="11">
        <v>36093</v>
      </c>
      <c r="Z74" s="14">
        <f>RANK(AA74,AA:AA,1)</f>
        <v>62</v>
      </c>
      <c r="AA74" s="13">
        <f>IFERROR( (3*IF(AB74&gt;0,AB74, 76) + 2*IF(AC74&gt;0,AC74, 18) + 2*IF(AD74&gt;0,AD74, 5) + 2*IF(AE74&gt;0,AE74, 70) + 2*IF(AF74&gt;0,AF74, 7)  + IF(AG74&gt;0,AG74, 51) + IF(AI74&gt;0,AI74, 9) +  IF(AH74&gt;0,AH74, 101) + 0.75*IF(AJ74&gt;0,AJ74, 101)), 99)</f>
        <v>532</v>
      </c>
      <c r="AB74" s="14">
        <v>61</v>
      </c>
      <c r="AH74" s="14">
        <v>50</v>
      </c>
      <c r="AI74" s="14">
        <v>6</v>
      </c>
      <c r="AJ74" s="14">
        <v>56</v>
      </c>
      <c r="AK74" s="2" t="str">
        <f>IFERROR(INDEX(measureables!$A:$J,MATCH($A74,measureables!$A:$A,FALSE),7), "")</f>
        <v>6'0.25''</v>
      </c>
      <c r="AL74" s="2">
        <f>IFERROR(INDEX(measureables!$A:$J,MATCH($A74,measureables!$A:$A,FALSE),9), "")</f>
        <v>192.2</v>
      </c>
      <c r="AM74" s="2" t="str">
        <f>IFERROR(INDEX(measureables!$A:$J,MATCH($A74,measureables!$A:$A,FALSE),10), "")</f>
        <v>6'5.25''</v>
      </c>
      <c r="AN74" s="2" t="str">
        <f>IFERROR(INDEX(measureables!$A:$J,MATCH($A74,measureables!$A:$A,FALSE),8), "")</f>
        <v>7'10.0''</v>
      </c>
      <c r="AO74"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75" spans="1:41" ht="22" customHeight="1" x14ac:dyDescent="0.2">
      <c r="A75" t="s">
        <v>171</v>
      </c>
      <c r="B75" s="16" t="s">
        <v>361</v>
      </c>
      <c r="C75" s="3" t="s">
        <v>275</v>
      </c>
      <c r="D75" s="3" t="s">
        <v>265</v>
      </c>
      <c r="E75" s="10">
        <f>YEARFRAC(Y75, $E$2, 1)</f>
        <v>22.666666666666668</v>
      </c>
      <c r="F75" s="8">
        <f>IFERROR(LEFT(AK75,FIND("'",AK75)-1)*12+SUBSTITUTE(MID(AK75,FIND("'",AK75)+1,LEN(AK75)),"''",""), "")</f>
        <v>82</v>
      </c>
      <c r="G75" s="8">
        <f>AL75</f>
        <v>250.2</v>
      </c>
      <c r="H75" s="8">
        <f>IFERROR(LEFT(AM75,FIND("'",AM75)-1)*12+SUBSTITUTE(MID(AM75,FIND("'",AM75)+1,LEN(AM75)),"''",""), "")</f>
        <v>87.25</v>
      </c>
      <c r="I75" s="8">
        <f>IFERROR(LEFT(AN75,FIND("'",AN75)-1)*12+SUBSTITUTE(MID(AN75,FIND("'",AN75)+1,LEN(AN75)),"''",""), "")</f>
        <v>106</v>
      </c>
      <c r="J75" s="8" t="str">
        <f>IFERROR(IF(AND(H75-F75&gt;= 0, H75 &gt; 0), "+", ""),"") &amp; IFERROR(IF(AND(H75-F75&gt;= -5, H75 &gt; 0), H75-F75, ""),"")</f>
        <v>+5.25</v>
      </c>
      <c r="K75" s="10">
        <f>IF(F75&gt;0, IFERROR((H75-60)/(F75-60),""), "")</f>
        <v>1.2386363636363635</v>
      </c>
      <c r="Q75" s="7">
        <v>0</v>
      </c>
      <c r="R75" s="3" t="s">
        <v>443</v>
      </c>
      <c r="S75" s="8">
        <f>IF(Q75=Q74,S74, MAX(S$2:S74)+1)</f>
        <v>8</v>
      </c>
      <c r="T75" s="8" t="str">
        <f>IFERROR(INDEX(actual!A:A,MATCH(A75,actual!B:B,FALSE)), "")</f>
        <v/>
      </c>
      <c r="U75" s="8" t="str">
        <f>IFERROR(INDEX(actual!C:C,MATCH(A75,actual!B:B,FALSE)), "")</f>
        <v/>
      </c>
      <c r="V75" s="4" t="str">
        <f>HYPERLINK(IF(D75="", "https://www.basketball-reference.com/international", "https://www.sports-reference.com/cbb") &amp; "/players/" &amp; LOWER(SUBSTITUTE(A75, " ", "-") &amp; "-1.html"))</f>
        <v>https://www.sports-reference.com/cbb/players/jericho-sims-1.html</v>
      </c>
      <c r="W75" s="4" t="str">
        <f>HYPERLINK("https://www.nbadraft.net/players/" &amp; LOWER(SUBSTITUTE(A75, " ", "-") &amp; ""))</f>
        <v>https://www.nbadraft.net/players/jericho-sims</v>
      </c>
      <c r="X75" s="18" t="str">
        <f>HYPERLINK("https://www.nba.com/draft/2021/prospects/" &amp; LOWER(SUBSTITUTE(A75, " ", "-") &amp; ""))</f>
        <v>https://www.nba.com/draft/2021/prospects/jericho-sims</v>
      </c>
      <c r="Y75" s="11">
        <v>36088</v>
      </c>
      <c r="Z75" s="14">
        <f>RANK(AA75,AA:AA,1)</f>
        <v>50</v>
      </c>
      <c r="AA75" s="13">
        <f>IFERROR( (3*IF(AB75&gt;0,AB75, 76) + 2*IF(AC75&gt;0,AC75, 18) + 2*IF(AD75&gt;0,AD75, 5) + 2*IF(AE75&gt;0,AE75, 70) + 2*IF(AF75&gt;0,AF75, 7)  + IF(AG75&gt;0,AG75, 51) + IF(AI75&gt;0,AI75, 9) +  IF(AH75&gt;0,AH75, 101) + 0.75*IF(AJ75&gt;0,AJ75, 101)), 99)</f>
        <v>451.75</v>
      </c>
      <c r="AB75" s="14">
        <v>46</v>
      </c>
      <c r="AE75" s="14">
        <v>55</v>
      </c>
      <c r="AF75" s="14">
        <v>6</v>
      </c>
      <c r="AH75" s="14">
        <v>46</v>
      </c>
      <c r="AI75" s="14">
        <v>6</v>
      </c>
      <c r="AJ75" s="14">
        <v>57</v>
      </c>
      <c r="AK75" s="2" t="str">
        <f>IFERROR(INDEX(measureables!$A:$J,MATCH($A75,measureables!$A:$A,FALSE),7), "")</f>
        <v>6'10.0''</v>
      </c>
      <c r="AL75" s="2">
        <f>IFERROR(INDEX(measureables!$A:$J,MATCH($A75,measureables!$A:$A,FALSE),9), "")</f>
        <v>250.2</v>
      </c>
      <c r="AM75" s="2" t="str">
        <f>IFERROR(INDEX(measureables!$A:$J,MATCH($A75,measureables!$A:$A,FALSE),10), "")</f>
        <v>7'3.25''</v>
      </c>
      <c r="AN75" s="2" t="str">
        <f>IFERROR(INDEX(measureables!$A:$J,MATCH($A75,measureables!$A:$A,FALSE),8), "")</f>
        <v>8'10.0''</v>
      </c>
      <c r="AO75"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76" spans="1:41" ht="22" customHeight="1" x14ac:dyDescent="0.2">
      <c r="A76" t="s">
        <v>121</v>
      </c>
      <c r="B76" s="16" t="s">
        <v>15</v>
      </c>
      <c r="C76" s="3" t="s">
        <v>309</v>
      </c>
      <c r="D76" s="3" t="s">
        <v>262</v>
      </c>
      <c r="E76" s="10">
        <f>YEARFRAC(Y76, $E$2, 1)</f>
        <v>22.880219028062971</v>
      </c>
      <c r="F76" s="8">
        <f>IFERROR(LEFT(AK76,FIND("'",AK76)-1)*12+SUBSTITUTE(MID(AK76,FIND("'",AK76)+1,LEN(AK76)),"''",""), "")</f>
        <v>74</v>
      </c>
      <c r="G76" s="8">
        <f>AL76</f>
        <v>180.8</v>
      </c>
      <c r="H76" s="8">
        <f>IFERROR(LEFT(AM76,FIND("'",AM76)-1)*12+SUBSTITUTE(MID(AM76,FIND("'",AM76)+1,LEN(AM76)),"''",""), "")</f>
        <v>74.75</v>
      </c>
      <c r="I76" s="8">
        <f>IFERROR(LEFT(AN76,FIND("'",AN76)-1)*12+SUBSTITUTE(MID(AN76,FIND("'",AN76)+1,LEN(AN76)),"''",""), "")</f>
        <v>96</v>
      </c>
      <c r="J76" s="8" t="str">
        <f>IFERROR(IF(AND(H76-F76&gt;= 0, H76 &gt; 0), "+", ""),"") &amp; IFERROR(IF(AND(H76-F76&gt;= -5, H76 &gt; 0), H76-F76, ""),"")</f>
        <v>+0.75</v>
      </c>
      <c r="K76" s="10">
        <f>IF(F76&gt;0, IFERROR((H76-60)/(F76-60),""), "")</f>
        <v>1.0535714285714286</v>
      </c>
      <c r="Q76" s="7">
        <v>0</v>
      </c>
      <c r="R76" s="3" t="s">
        <v>443</v>
      </c>
      <c r="S76" s="8">
        <f>IF(Q76=Q75,S75, MAX(S$2:S75)+1)</f>
        <v>8</v>
      </c>
      <c r="T76" s="8">
        <f>IFERROR(INDEX(actual!A:A,MATCH(A76,actual!B:B,FALSE)), "")</f>
        <v>49</v>
      </c>
      <c r="U76" s="8" t="str">
        <f>IFERROR(INDEX(actual!C:C,MATCH(A76,actual!B:B,FALSE)), "")</f>
        <v>BRK</v>
      </c>
      <c r="V76" s="4" t="str">
        <f>HYPERLINK(IF(D76="", "https://www.basketball-reference.com/international", "https://www.sports-reference.com/cbb") &amp; "/players/" &amp; LOWER(SUBSTITUTE(A76, " ", "-") &amp; "-1.html"))</f>
        <v>https://www.sports-reference.com/cbb/players/marcus-zegarowski-1.html</v>
      </c>
      <c r="W76" s="4" t="str">
        <f>HYPERLINK("https://www.nbadraft.net/players/" &amp; LOWER(SUBSTITUTE(A76, " ", "-") &amp; ""))</f>
        <v>https://www.nbadraft.net/players/marcus-zegarowski</v>
      </c>
      <c r="X76" s="18" t="str">
        <f>HYPERLINK("https://www.nba.com/draft/2021/prospects/" &amp; LOWER(SUBSTITUTE(A76, " ", "-") &amp; ""))</f>
        <v>https://www.nba.com/draft/2021/prospects/marcus-zegarowski</v>
      </c>
      <c r="Y76" s="11">
        <v>36010</v>
      </c>
      <c r="Z76" s="14">
        <f>RANK(AA76,AA:AA,1)</f>
        <v>71</v>
      </c>
      <c r="AA76" s="13">
        <f>IFERROR( (3*IF(AB76&gt;0,AB76, 76) + 2*IF(AC76&gt;0,AC76, 18) + 2*IF(AD76&gt;0,AD76, 5) + 2*IF(AE76&gt;0,AE76, 70) + 2*IF(AF76&gt;0,AF76, 7)  + IF(AG76&gt;0,AG76, 51) + IF(AI76&gt;0,AI76, 9) +  IF(AH76&gt;0,AH76, 101) + 0.75*IF(AJ76&gt;0,AJ76, 101)), 99)</f>
        <v>598.5</v>
      </c>
      <c r="AE76" s="14">
        <v>54</v>
      </c>
      <c r="AF76" s="14">
        <v>6</v>
      </c>
      <c r="AH76" s="14">
        <v>82</v>
      </c>
      <c r="AI76" s="14">
        <v>7</v>
      </c>
      <c r="AJ76" s="14">
        <v>86</v>
      </c>
      <c r="AK76" s="2" t="str">
        <f>IFERROR(INDEX(measureables!$A:$J,MATCH($A76,measureables!$A:$A,FALSE),7), "")</f>
        <v>6'2.0''</v>
      </c>
      <c r="AL76" s="2">
        <f>IFERROR(INDEX(measureables!$A:$J,MATCH($A76,measureables!$A:$A,FALSE),9), "")</f>
        <v>180.8</v>
      </c>
      <c r="AM76" s="2" t="str">
        <f>IFERROR(INDEX(measureables!$A:$J,MATCH($A76,measureables!$A:$A,FALSE),10), "")</f>
        <v>6'2.75''</v>
      </c>
      <c r="AN76" s="2" t="str">
        <f>IFERROR(INDEX(measureables!$A:$J,MATCH($A76,measureables!$A:$A,FALSE),8), "")</f>
        <v>8'0.0''</v>
      </c>
      <c r="AO76"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77" spans="1:41" ht="22" customHeight="1" x14ac:dyDescent="0.2">
      <c r="A77" t="s">
        <v>87</v>
      </c>
      <c r="B77" s="16" t="s">
        <v>423</v>
      </c>
      <c r="C77" s="3" t="s">
        <v>255</v>
      </c>
      <c r="D77" s="3" t="s">
        <v>265</v>
      </c>
      <c r="E77" s="10">
        <f>YEARFRAC(Y77, $E$2, 1)</f>
        <v>22.896646132785762</v>
      </c>
      <c r="F77" s="8">
        <f>IFERROR(LEFT(AK77,FIND("'",AK77)-1)*12+SUBSTITUTE(MID(AK77,FIND("'",AK77)+1,LEN(AK77)),"''",""), "")</f>
        <v>79.25</v>
      </c>
      <c r="G77" s="8">
        <f>AL77</f>
        <v>231.8</v>
      </c>
      <c r="H77" s="8">
        <f>IFERROR(LEFT(AM77,FIND("'",AM77)-1)*12+SUBSTITUTE(MID(AM77,FIND("'",AM77)+1,LEN(AM77)),"''",""), "")</f>
        <v>81.25</v>
      </c>
      <c r="I77" s="8">
        <f>IFERROR(LEFT(AN77,FIND("'",AN77)-1)*12+SUBSTITUTE(MID(AN77,FIND("'",AN77)+1,LEN(AN77)),"''",""), "")</f>
        <v>104.5</v>
      </c>
      <c r="J77" s="8" t="str">
        <f>IFERROR(IF(AND(H77-F77&gt;= 0, H77 &gt; 0), "+", ""),"") &amp; IFERROR(IF(AND(H77-F77&gt;= -5, H77 &gt; 0), H77-F77, ""),"")</f>
        <v>+2</v>
      </c>
      <c r="K77" s="10">
        <f>IF(F77&gt;0, IFERROR((H77-60)/(F77-60),""), "")</f>
        <v>1.1038961038961039</v>
      </c>
      <c r="Q77" s="7">
        <v>0</v>
      </c>
      <c r="R77" s="3" t="s">
        <v>443</v>
      </c>
      <c r="S77" s="8">
        <f>IF(Q77=Q76,S76, MAX(S$2:S76)+1)</f>
        <v>8</v>
      </c>
      <c r="T77" s="8">
        <f>IFERROR(INDEX(actual!A:A,MATCH(A77,actual!B:B,FALSE)), "")</f>
        <v>42</v>
      </c>
      <c r="U77" s="8" t="str">
        <f>IFERROR(INDEX(actual!C:C,MATCH(A77,actual!B:B,FALSE)), "")</f>
        <v>DET</v>
      </c>
      <c r="V77" s="4" t="str">
        <f>HYPERLINK(IF(D77="", "https://www.basketball-reference.com/international", "https://www.sports-reference.com/cbb") &amp; "/players/" &amp; LOWER(SUBSTITUTE(A77, " ", "-") &amp; "-1.html"))</f>
        <v>https://www.sports-reference.com/cbb/players/isaiah-livers-1.html</v>
      </c>
      <c r="W77" s="4" t="str">
        <f>HYPERLINK("https://www.nbadraft.net/players/" &amp; LOWER(SUBSTITUTE(A77, " ", "-") &amp; ""))</f>
        <v>https://www.nbadraft.net/players/isaiah-livers</v>
      </c>
      <c r="X77" s="18" t="str">
        <f>HYPERLINK("https://www.nba.com/draft/2021/prospects/" &amp; LOWER(SUBSTITUTE(A77, " ", "-") &amp; ""))</f>
        <v>https://www.nba.com/draft/2021/prospects/isaiah-livers</v>
      </c>
      <c r="Y77" s="11">
        <v>36004</v>
      </c>
      <c r="Z77" s="14">
        <f>RANK(AA77,AA:AA,1)</f>
        <v>59</v>
      </c>
      <c r="AA77" s="13">
        <f>IFERROR( (3*IF(AB77&gt;0,AB77, 76) + 2*IF(AC77&gt;0,AC77, 18) + 2*IF(AD77&gt;0,AD77, 5) + 2*IF(AE77&gt;0,AE77, 70) + 2*IF(AF77&gt;0,AF77, 7)  + IF(AG77&gt;0,AG77, 51) + IF(AI77&gt;0,AI77, 9) +  IF(AH77&gt;0,AH77, 101) + 0.75*IF(AJ77&gt;0,AJ77, 101)), 99)</f>
        <v>509.75</v>
      </c>
      <c r="AE77" s="14">
        <v>40</v>
      </c>
      <c r="AF77" s="14">
        <v>5</v>
      </c>
      <c r="AH77" s="14">
        <v>52</v>
      </c>
      <c r="AI77" s="14">
        <v>6</v>
      </c>
      <c r="AJ77" s="14">
        <v>49</v>
      </c>
      <c r="AK77" s="2" t="str">
        <f>IFERROR(INDEX(measureables!$A:$J,MATCH($A77,measureables!$A:$A,FALSE),7), "")</f>
        <v>6'7.25''</v>
      </c>
      <c r="AL77" s="2">
        <f>IFERROR(INDEX(measureables!$A:$J,MATCH($A77,measureables!$A:$A,FALSE),9), "")</f>
        <v>231.8</v>
      </c>
      <c r="AM77" s="2" t="str">
        <f>IFERROR(INDEX(measureables!$A:$J,MATCH($A77,measureables!$A:$A,FALSE),10), "")</f>
        <v>6'9.25''</v>
      </c>
      <c r="AN77" s="2" t="str">
        <f>IFERROR(INDEX(measureables!$A:$J,MATCH($A77,measureables!$A:$A,FALSE),8), "")</f>
        <v>8'8.5''</v>
      </c>
      <c r="AO77"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78" spans="1:41" ht="22" customHeight="1" x14ac:dyDescent="0.2">
      <c r="A78" t="s">
        <v>78</v>
      </c>
      <c r="B78" s="16" t="s">
        <v>355</v>
      </c>
      <c r="C78" s="3" t="s">
        <v>299</v>
      </c>
      <c r="D78" s="3" t="s">
        <v>265</v>
      </c>
      <c r="E78" s="10">
        <f>YEARFRAC(Y78, $E$2, 1)</f>
        <v>23.060917180013689</v>
      </c>
      <c r="F78" s="8">
        <f>IFERROR(LEFT(AK78,FIND("'",AK78)-1)*12+SUBSTITUTE(MID(AK78,FIND("'",AK78)+1,LEN(AK78)),"''",""), "")</f>
        <v>77.75</v>
      </c>
      <c r="G78" s="8">
        <f>AL78</f>
        <v>197.2</v>
      </c>
      <c r="H78" s="8">
        <f>IFERROR(LEFT(AM78,FIND("'",AM78)-1)*12+SUBSTITUTE(MID(AM78,FIND("'",AM78)+1,LEN(AM78)),"''",""), "")</f>
        <v>78.25</v>
      </c>
      <c r="I78" s="8">
        <f>IFERROR(LEFT(AN78,FIND("'",AN78)-1)*12+SUBSTITUTE(MID(AN78,FIND("'",AN78)+1,LEN(AN78)),"''",""), "")</f>
        <v>101</v>
      </c>
      <c r="J78" s="8" t="str">
        <f>IFERROR(IF(AND(H78-F78&gt;= 0, H78 &gt; 0), "+", ""),"") &amp; IFERROR(IF(AND(H78-F78&gt;= -5, H78 &gt; 0), H78-F78, ""),"")</f>
        <v>+0.5</v>
      </c>
      <c r="K78" s="10">
        <f>IF(F78&gt;0, IFERROR((H78-60)/(F78-60),""), "")</f>
        <v>1.028169014084507</v>
      </c>
      <c r="Q78" s="7">
        <v>0</v>
      </c>
      <c r="R78" s="3" t="s">
        <v>443</v>
      </c>
      <c r="S78" s="8">
        <f>IF(Q78=Q77,S77, MAX(S$2:S77)+1)</f>
        <v>8</v>
      </c>
      <c r="T78" s="8" t="str">
        <f>IFERROR(INDEX(actual!A:A,MATCH(A78,actual!B:B,FALSE)), "")</f>
        <v/>
      </c>
      <c r="U78" s="8" t="str">
        <f>IFERROR(INDEX(actual!C:C,MATCH(A78,actual!B:B,FALSE)), "")</f>
        <v/>
      </c>
      <c r="V78" s="4" t="str">
        <f>HYPERLINK(IF(D78="", "https://www.basketball-reference.com/international", "https://www.sports-reference.com/cbb") &amp; "/players/" &amp; LOWER(SUBSTITUTE(A78, " ", "-") &amp; "-1.html"))</f>
        <v>https://www.sports-reference.com/cbb/players/austin-reaves-1.html</v>
      </c>
      <c r="W78" s="4" t="str">
        <f>HYPERLINK("https://www.nbadraft.net/players/" &amp; LOWER(SUBSTITUTE(A78, " ", "-") &amp; ""))</f>
        <v>https://www.nbadraft.net/players/austin-reaves</v>
      </c>
      <c r="X78" s="18" t="str">
        <f>HYPERLINK("https://www.nba.com/draft/2021/prospects/" &amp; LOWER(SUBSTITUTE(A78, " ", "-") &amp; ""))</f>
        <v>https://www.nba.com/draft/2021/prospects/austin-reaves</v>
      </c>
      <c r="Y78" s="11">
        <v>35944</v>
      </c>
      <c r="Z78" s="14">
        <f>RANK(AA78,AA:AA,1)</f>
        <v>55</v>
      </c>
      <c r="AA78" s="13">
        <f>IFERROR( (3*IF(AB78&gt;0,AB78, 76) + 2*IF(AC78&gt;0,AC78, 18) + 2*IF(AD78&gt;0,AD78, 5) + 2*IF(AE78&gt;0,AE78, 70) + 2*IF(AF78&gt;0,AF78, 7)  + IF(AG78&gt;0,AG78, 51) + IF(AI78&gt;0,AI78, 9) +  IF(AH78&gt;0,AH78, 101) + 0.75*IF(AJ78&gt;0,AJ78, 101)), 99)</f>
        <v>506.5</v>
      </c>
      <c r="AE78" s="14">
        <v>59</v>
      </c>
      <c r="AF78" s="14">
        <v>6</v>
      </c>
      <c r="AG78" s="14">
        <v>34</v>
      </c>
      <c r="AH78" s="14">
        <v>32</v>
      </c>
      <c r="AI78" s="14">
        <v>5</v>
      </c>
      <c r="AJ78" s="14">
        <v>42</v>
      </c>
      <c r="AK78" s="2" t="str">
        <f>IFERROR(INDEX(measureables!$A:$J,MATCH($A78,measureables!$A:$A,FALSE),7), "")</f>
        <v>6'5.75''</v>
      </c>
      <c r="AL78" s="2">
        <f>IFERROR(INDEX(measureables!$A:$J,MATCH($A78,measureables!$A:$A,FALSE),9), "")</f>
        <v>197.2</v>
      </c>
      <c r="AM78" s="2" t="str">
        <f>IFERROR(INDEX(measureables!$A:$J,MATCH($A78,measureables!$A:$A,FALSE),10), "")</f>
        <v>6'6.25''</v>
      </c>
      <c r="AN78" s="2" t="str">
        <f>IFERROR(INDEX(measureables!$A:$J,MATCH($A78,measureables!$A:$A,FALSE),8), "")</f>
        <v>8'5.0''</v>
      </c>
      <c r="AO78"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79" spans="1:41" ht="22" customHeight="1" x14ac:dyDescent="0.2">
      <c r="A79" t="s">
        <v>197</v>
      </c>
      <c r="B79" s="16" t="s">
        <v>15</v>
      </c>
      <c r="C79" s="3" t="s">
        <v>292</v>
      </c>
      <c r="D79" s="3" t="s">
        <v>265</v>
      </c>
      <c r="E79" s="10">
        <f>YEARFRAC(Y79, $E$2, 1)</f>
        <v>23.491402913152996</v>
      </c>
      <c r="F79" s="8">
        <f>IFERROR(LEFT(AK79,FIND("'",AK79)-1)*12+SUBSTITUTE(MID(AK79,FIND("'",AK79)+1,LEN(AK79)),"''",""), "")</f>
        <v>73</v>
      </c>
      <c r="G79" s="8">
        <f>AL79</f>
        <v>173.6</v>
      </c>
      <c r="H79" s="8">
        <f>IFERROR(LEFT(AM79,FIND("'",AM79)-1)*12+SUBSTITUTE(MID(AM79,FIND("'",AM79)+1,LEN(AM79)),"''",""), "")</f>
        <v>77</v>
      </c>
      <c r="I79" s="8">
        <f>IFERROR(LEFT(AN79,FIND("'",AN79)-1)*12+SUBSTITUTE(MID(AN79,FIND("'",AN79)+1,LEN(AN79)),"''",""), "")</f>
        <v>97.5</v>
      </c>
      <c r="J79" s="8" t="str">
        <f>IFERROR(IF(AND(H79-F79&gt;= 0, H79 &gt; 0), "+", ""),"") &amp; IFERROR(IF(AND(H79-F79&gt;= -5, H79 &gt; 0), H79-F79, ""),"")</f>
        <v>+4</v>
      </c>
      <c r="K79" s="10">
        <f>IF(F79&gt;0, IFERROR((H79-60)/(F79-60),""), "")</f>
        <v>1.3076923076923077</v>
      </c>
      <c r="Q79" s="7">
        <v>0</v>
      </c>
      <c r="R79" s="3" t="s">
        <v>443</v>
      </c>
      <c r="S79" s="8">
        <f>IF(Q79=Q78,S78, MAX(S$2:S78)+1)</f>
        <v>8</v>
      </c>
      <c r="T79" s="8" t="str">
        <f>IFERROR(INDEX(actual!A:A,MATCH(A79,actual!B:B,FALSE)), "")</f>
        <v/>
      </c>
      <c r="U79" s="8" t="str">
        <f>IFERROR(INDEX(actual!C:C,MATCH(A79,actual!B:B,FALSE)), "")</f>
        <v/>
      </c>
      <c r="V79" s="4" t="str">
        <f>HYPERLINK(IF(D79="", "https://www.basketball-reference.com/international", "https://www.sports-reference.com/cbb") &amp; "/players/" &amp; LOWER(SUBSTITUTE(A79, " ", "-") &amp; "-1.html"))</f>
        <v>https://www.sports-reference.com/cbb/players/carlik-jones-1.html</v>
      </c>
      <c r="W79" s="4" t="str">
        <f>HYPERLINK("https://www.nbadraft.net/players/" &amp; LOWER(SUBSTITUTE(A79, " ", "-") &amp; ""))</f>
        <v>https://www.nbadraft.net/players/carlik-jones</v>
      </c>
      <c r="X79" s="18" t="str">
        <f>HYPERLINK("https://www.nba.com/draft/2021/prospects/" &amp; LOWER(SUBSTITUTE(A79, " ", "-") &amp; ""))</f>
        <v>https://www.nba.com/draft/2021/prospects/carlik-jones</v>
      </c>
      <c r="Y79" s="11">
        <v>35787</v>
      </c>
      <c r="Z79" s="14">
        <f>RANK(AA79,AA:AA,1)</f>
        <v>74</v>
      </c>
      <c r="AA79" s="13">
        <f>IFERROR( (3*IF(AB79&gt;0,AB79, 76) + 2*IF(AC79&gt;0,AC79, 18) + 2*IF(AD79&gt;0,AD79, 5) + 2*IF(AE79&gt;0,AE79, 70) + 2*IF(AF79&gt;0,AF79, 7)  + IF(AG79&gt;0,AG79, 51) + IF(AI79&gt;0,AI79, 9) +  IF(AH79&gt;0,AH79, 101) + 0.75*IF(AJ79&gt;0,AJ79, 101)), 99)</f>
        <v>635.5</v>
      </c>
      <c r="AJ79" s="14">
        <v>62</v>
      </c>
      <c r="AK79" s="2" t="str">
        <f>IFERROR(INDEX(measureables!$A:$J,MATCH($A79,measureables!$A:$A,FALSE),7), "")</f>
        <v>6'1.0''</v>
      </c>
      <c r="AL79" s="2">
        <f>IFERROR(INDEX(measureables!$A:$J,MATCH($A79,measureables!$A:$A,FALSE),9), "")</f>
        <v>173.6</v>
      </c>
      <c r="AM79" s="2" t="str">
        <f>IFERROR(INDEX(measureables!$A:$J,MATCH($A79,measureables!$A:$A,FALSE),10), "")</f>
        <v>6'5.0''</v>
      </c>
      <c r="AN79" s="2" t="str">
        <f>IFERROR(INDEX(measureables!$A:$J,MATCH($A79,measureables!$A:$A,FALSE),8), "")</f>
        <v>8'1.5''</v>
      </c>
      <c r="AO79"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row r="80" spans="1:41" ht="22" customHeight="1" x14ac:dyDescent="0.2">
      <c r="A80" t="s">
        <v>105</v>
      </c>
      <c r="B80" s="16" t="s">
        <v>423</v>
      </c>
      <c r="C80" s="3" t="s">
        <v>272</v>
      </c>
      <c r="D80" s="3" t="s">
        <v>265</v>
      </c>
      <c r="E80" s="10">
        <f>YEARFRAC(Y80, $E$2, 1)</f>
        <v>23.532471799364799</v>
      </c>
      <c r="F80" s="8">
        <f>IFERROR(LEFT(AK80,FIND("'",AK80)-1)*12+SUBSTITUTE(MID(AK80,FIND("'",AK80)+1,LEN(AK80)),"''",""), "")</f>
        <v>80</v>
      </c>
      <c r="G80" s="8">
        <f>AL80</f>
        <v>217.4</v>
      </c>
      <c r="H80" s="8">
        <f>IFERROR(LEFT(AM80,FIND("'",AM80)-1)*12+SUBSTITUTE(MID(AM80,FIND("'",AM80)+1,LEN(AM80)),"''",""), "")</f>
        <v>81.25</v>
      </c>
      <c r="I80" s="8">
        <f>IFERROR(LEFT(AN80,FIND("'",AN80)-1)*12+SUBSTITUTE(MID(AN80,FIND("'",AN80)+1,LEN(AN80)),"''",""), "")</f>
        <v>102</v>
      </c>
      <c r="J80" s="8" t="str">
        <f>IFERROR(IF(AND(H80-F80&gt;= 0, H80 &gt; 0), "+", ""),"") &amp; IFERROR(IF(AND(H80-F80&gt;= -5, H80 &gt; 0), H80-F80, ""),"")</f>
        <v>+1.25</v>
      </c>
      <c r="K80" s="10">
        <f>IF(F80&gt;0, IFERROR((H80-60)/(F80-60),""), "")</f>
        <v>1.0625</v>
      </c>
      <c r="Q80" s="7">
        <v>0</v>
      </c>
      <c r="R80" s="3" t="s">
        <v>443</v>
      </c>
      <c r="S80" s="8">
        <f>IF(Q80=Q79,S79, MAX(S$2:S79)+1)</f>
        <v>8</v>
      </c>
      <c r="T80" s="8" t="str">
        <f>IFERROR(INDEX(actual!A:A,MATCH(A80,actual!B:B,FALSE)), "")</f>
        <v/>
      </c>
      <c r="U80" s="8" t="str">
        <f>IFERROR(INDEX(actual!C:C,MATCH(A80,actual!B:B,FALSE)), "")</f>
        <v/>
      </c>
      <c r="V80" s="4" t="str">
        <f>HYPERLINK(IF(D80="", "https://www.basketball-reference.com/international", "https://www.sports-reference.com/cbb") &amp; "/players/" &amp; LOWER(SUBSTITUTE(A80, " ", "-") &amp; "-1.html"))</f>
        <v>https://www.sports-reference.com/cbb/players/sam-hauser-1.html</v>
      </c>
      <c r="W80" s="4" t="str">
        <f>HYPERLINK("https://www.nbadraft.net/players/" &amp; LOWER(SUBSTITUTE(A80, " ", "-") &amp; ""))</f>
        <v>https://www.nbadraft.net/players/sam-hauser</v>
      </c>
      <c r="X80" s="18" t="str">
        <f>HYPERLINK("https://www.nba.com/draft/2021/prospects/" &amp; LOWER(SUBSTITUTE(A80, " ", "-") &amp; ""))</f>
        <v>https://www.nba.com/draft/2021/prospects/sam-hauser</v>
      </c>
      <c r="Y80" s="11">
        <v>35772</v>
      </c>
      <c r="Z80" s="14">
        <f>RANK(AA80,AA:AA,1)</f>
        <v>67</v>
      </c>
      <c r="AA80" s="13">
        <f>IFERROR( (3*IF(AB80&gt;0,AB80, 76) + 2*IF(AC80&gt;0,AC80, 18) + 2*IF(AD80&gt;0,AD80, 5) + 2*IF(AE80&gt;0,AE80, 70) + 2*IF(AF80&gt;0,AF80, 7)  + IF(AG80&gt;0,AG80, 51) + IF(AI80&gt;0,AI80, 9) +  IF(AH80&gt;0,AH80, 101) + 0.75*IF(AJ80&gt;0,AJ80, 101)), 99)</f>
        <v>570.25</v>
      </c>
      <c r="AE80" s="14">
        <v>56</v>
      </c>
      <c r="AF80" s="14">
        <v>6</v>
      </c>
      <c r="AH80" s="14">
        <v>67</v>
      </c>
      <c r="AI80" s="14">
        <v>7</v>
      </c>
      <c r="AJ80" s="14">
        <v>63</v>
      </c>
      <c r="AK80" s="2" t="str">
        <f>IFERROR(INDEX(measureables!$A:$J,MATCH($A80,measureables!$A:$A,FALSE),7), "")</f>
        <v>6'8.0''</v>
      </c>
      <c r="AL80" s="2">
        <f>IFERROR(INDEX(measureables!$A:$J,MATCH($A80,measureables!$A:$A,FALSE),9), "")</f>
        <v>217.4</v>
      </c>
      <c r="AM80" s="2" t="str">
        <f>IFERROR(INDEX(measureables!$A:$J,MATCH($A80,measureables!$A:$A,FALSE),10), "")</f>
        <v>6'9.25''</v>
      </c>
      <c r="AN80" s="2" t="str">
        <f>IFERROR(INDEX(measureables!$A:$J,MATCH($A80,measureables!$A:$A,FALSE),8), "")</f>
        <v>8'6.0''</v>
      </c>
      <c r="AO80" t="str">
        <f t="shared" si="1"/>
        <v xml:space="preserve">
&lt;!-- rankings --&gt;
  &lt;h2&gt; Tier 1 (~60 FV)&lt;/h2&gt;
  &lt;ol start='1 '&gt;
    &lt;li&gt;&lt;b&gt;&lt;a 
    target='_blank' href='https://www.nba.com/draft/2021/prospects/cade-cunningham'&gt;Cade Cunningham&lt;/a&gt;&lt;/b&gt;
    - &lt;i&gt;
    &lt;a target='_blank' href='https://www.nbadraft.net/players/cade-cunningham'&gt;PG &lt;/a&gt;&lt;/b&gt;
    - 
    &lt;a target='_blank'href='https://www.sports-reference.com/cbb/players/cade-cunningham-1.html'&gt;Oklahoma State&lt;/a&gt;&lt;/b&gt; &lt;/i&gt;&lt;/li&gt;
  &lt;ul style='list-style-type:none'&gt;
    &lt;li&gt;Grade: Freshman &lt;/li&gt;
    &lt;li&gt;Age: 19.7 &lt;/li&gt;
    &lt;li&gt;Height: 80 in &lt;/li&gt;
    &lt;li&gt;Weight: 220 lbs &lt;/li&gt;
    &lt;li&gt;++: frame, shooting &lt;/li&gt;
    &lt;li&gt;+: on-ball defense &lt;/li&gt;
    &lt;li&gt;-: age, dribble penetration, playmaking, motor &lt;/li&gt;
    &lt;li&gt;Additional Notes: Shooting+switchable defensive profile creates highly scalable profile, a 'souped up 3&amp;D' prospect, but may not excel if given the reigns as a lone shot creating alpha dog &lt;/li&gt;
  &lt;/ul&gt;
  &lt;br&gt;  &lt;li&gt;&lt;b&gt;&lt;a 
    target='_blank' href='https://www.nba.com/draft/2021/prospects/evan-mobley'&gt;Evan Mobley&lt;/a&gt;&lt;/b&gt;
    - &lt;i&gt;
    &lt;a target='_blank' href='https://www.nbadraft.net/players/evan-mobley'&gt;F-C &lt;/a&gt;&lt;/b&gt;
    - 
    &lt;a target='_blank'href='https://www.sports-reference.com/cbb/players/evan-mobley-1.html'&gt;USC&lt;/a&gt;&lt;/b&gt; &lt;/i&gt;&lt;/li&gt;
  &lt;ul style='list-style-type:none'&gt;
    &lt;li&gt;Grade: Freshman &lt;/li&gt;
    &lt;li&gt;Age: 20 &lt;/li&gt;
    &lt;li&gt;Height: 84 in &lt;/li&gt;
    &lt;li&gt;Weight: 215 lbs &lt;/li&gt;
    &lt;li&gt;++: length, mobility at 7'0 &lt;/li&gt;
    &lt;li&gt;+: rim protection while limiting fouls, scoring touch, playmaking &lt;/li&gt;
    &lt;li&gt;-: thin frame, may need to play next to a second big, shooting &lt;/li&gt;
    &lt;li&gt;--: age &lt;/li&gt;
    &lt;li&gt;Additional Notes: Is he a stretch-5 who can't shoot, or are his wing skills enough to make him a mismatch nightmare? &lt;/li&gt;
  &lt;/ul&gt;
  &lt;br&gt;
  &lt;/ol&gt;
  &lt;h2&gt; Tier 2 (~55+ FV)&lt;/h2&gt;
  &lt;ol start='3 '&gt;
    &lt;li&gt;&lt;b&gt;&lt;a 
    target='_blank' href='https://www.nba.com/draft/2021/prospects/jalen-green'&gt;Jalen Green&lt;/a&gt;&lt;/b&gt;
    - &lt;i&gt;
    &lt;a target='_blank' href='https://www.nbadraft.net/players/jalen-green'&gt;SG &lt;/a&gt;&lt;/b&gt;
    - 
    &lt;a target='_blank'href='https://www.basketball-reference.com/gleague/players/g/greenja02d.html'&gt;G League Ignite&lt;/a&gt;&lt;/b&gt; &lt;/i&gt;&lt;/li&gt;
  &lt;ul style='list-style-type:none'&gt;
    &lt;li&gt;Age: 19.4 &lt;/li&gt;
    &lt;li&gt;Height: 78 in &lt;/li&gt;
    &lt;li&gt;Weight: 178 lbs &lt;/li&gt;
    &lt;li&gt;++: athleticism &lt;/li&gt;
    &lt;li&gt;+: age, shooting &lt;/li&gt;
    &lt;li&gt;-: playmaking, frame, IQ &lt;/li&gt;
    &lt;li&gt;Additional Notes: The youngest prospect in the top two tiers, he also requires the most projection but also the highest liklihood of becoming the engine of a high functioning offense &lt;/li&gt;
  &lt;/ul&gt;
  &lt;br&gt;  &lt;li&gt;&lt;b&gt;&lt;a 
    target='_blank' href='https://www.nba.com/draft/2021/prospects/franz-wagner'&gt;Franz Wagner&lt;/a&gt;&lt;/b&gt;
    - &lt;i&gt;
    &lt;a target='_blank' href='https://www.nbadraft.net/players/franz-wagner'&gt;W &lt;/a&gt;&lt;/b&gt;
    - 
    &lt;a target='_blank'href='https://www.sports-reference.com/cbb/players/franz-wagner-1.html'&gt;Michigan&lt;/a&gt;&lt;/b&gt; &lt;/i&gt;&lt;/li&gt;
  &lt;ul style='list-style-type:none'&gt;
    &lt;li&gt;Grade: Sophomore &lt;/li&gt;
    &lt;li&gt;Age: 19.8 &lt;/li&gt;
    &lt;li&gt;Height: 81 in &lt;/li&gt;
    &lt;li&gt;Weight: 220 lbs &lt;/li&gt;
    &lt;li&gt;++: on- and off-ball defense, IQ &lt;/li&gt;
    &lt;li&gt;+: age for a sophomore, passing &lt;/li&gt;
    &lt;li&gt;-: athleticism, offensive skill &lt;/li&gt;
    &lt;li&gt;Additional Notes: A very safe prospect as a valuable role player in a highly valued, easily scalable, portable archtype, but lacks star upside &lt;/li&gt;
  &lt;/ul&gt;
  &lt;br&gt;  &lt;li&gt;&lt;b&gt;&lt;a 
    target='_blank' href='https://www.nba.com/draft/2021/prospects/scottie-barnes'&gt;Scottie Barnes&lt;/a&gt;&lt;/b&gt;
    - &lt;i&gt;
    &lt;a target='_blank' href='https://www.nbadraft.net/players/scottie-barnes'&gt;W &lt;/a&gt;&lt;/b&gt;
    - 
    &lt;a target='_blank'href='https://www.sports-reference.com/cbb/players/scottie-barnes-1.html'&gt;Florida State&lt;/a&gt;&lt;/b&gt; &lt;/i&gt;&lt;/li&gt;
  &lt;ul style='list-style-type:none'&gt;
    &lt;li&gt;Grade: Freshman &lt;/li&gt;
    &lt;li&gt;Age: 19.9 &lt;/li&gt;
    &lt;li&gt;Height: 80 in &lt;/li&gt;
    &lt;li&gt;Weight: 225.4 lbs &lt;/li&gt;
    &lt;li&gt;Wingspan: 86.75 in &lt;/li&gt;
    &lt;li&gt;Reach: 108 in &lt;/li&gt;
    &lt;li&gt;Ape: +6.75 &lt;/li&gt;
    &lt;li&gt;++: frame, defensive versatility &lt;/li&gt;
    &lt;li&gt;+: dribble penetration, playmaking &lt;/li&gt;
    &lt;li&gt;-: age, shot creation &lt;/li&gt;
    &lt;li&gt;--: shooting &lt;/li&gt;
    &lt;li&gt;Additional Notes: A long D-and-D wing prospect who is actually good at playmaking and finishing at the rim while moonlighting as a collegiate PG, but also can't shoot. If he becomes a capable and willing shooter, he's an all-star. If he becomes a feared knockdown shooter, he's a superstar. If he regresses as a shooter, he's....Michael Kidd-Gilchrist? Evan Turner?  &lt;/li&gt;
  &lt;/ul&gt;
  &lt;br&gt;  &lt;li&gt;&lt;b&gt;&lt;a 
    target='_blank' href='https://www.nba.com/draft/2021/prospects/jalen-suggs'&gt;Jalen Suggs&lt;/a&gt;&lt;/b&gt;
    - &lt;i&gt;
    &lt;a target='_blank' href='https://www.nbadraft.net/players/jalen-suggs'&gt;PG &lt;/a&gt;&lt;/b&gt;
    - 
    &lt;a target='_blank'href='https://www.sports-reference.com/cbb/players/jalen-suggs-1.html'&gt;Gonzaga&lt;/a&gt;&lt;/b&gt; &lt;/i&gt;&lt;/li&gt;
  &lt;ul style='list-style-type:none'&gt;
    &lt;li&gt;Grade: Freshman &lt;/li&gt;
    &lt;li&gt;Age: 20 &lt;/li&gt;
    &lt;li&gt;Height: 76 in &lt;/li&gt;
    &lt;li&gt;Weight: 205 lbs &lt;/li&gt;
    &lt;li&gt;++: IQ,  &lt;/li&gt;
    &lt;li&gt;+: playmaking, point guard defense &lt;/li&gt;
    &lt;li&gt;-: shot creation, shooting &lt;/li&gt;
    &lt;li&gt;--: age &lt;/li&gt;
    &lt;li&gt;Additional Notes: A 'boring' prospect, without any standout incredible skills, but good at everything and a safe bet to be a floor-general top-12 point guard in the league &lt;/li&gt;
  &lt;/ul&gt;
  &lt;br&gt;
  &lt;/ol&gt;
  &lt;h2&gt; Tier 3 (~50+ FV)&lt;/h2&gt;
  &lt;ol start='7 '&gt;
    &lt;li&gt;&lt;b&gt;&lt;a 
    target='_blank' href='https://www.nba.com/draft/2021/prospects/josh-giddey'&gt;Josh Giddey&lt;/a&gt;&lt;/b&gt;
    - &lt;i&gt;
    &lt;a target='_blank' href='https://www.nbadraft.net/players/josh-giddey'&gt;G-W &lt;/a&gt;&lt;/b&gt;
    - 
    &lt;a target='_blank'href='https://www.basketball-reference.com/international/players/josh-giddey-1.html'&gt;Adelaide&lt;/a&gt;&lt;/b&gt; &lt;/i&gt;&lt;/li&gt;
  &lt;ul style='list-style-type:none'&gt;
    &lt;li&gt;Age: 18.7 &lt;/li&gt;
    &lt;li&gt;Height: 80 in &lt;/li&gt;
    &lt;li&gt;Weight: 200 lbs &lt;/li&gt;
    &lt;li&gt;++: age, height, passing &lt;/li&gt;
    &lt;li&gt;+: rebounding &lt;/li&gt;
    &lt;li&gt;-: defense, athleticism, shot creation &lt;/li&gt;
    &lt;li&gt;--: shooting &lt;/li&gt;
    &lt;li&gt;Additional Notes: The best passer in the class while also standing 6'8 and holding their own in a high level league should make a shoo-in for the top tier. Unfortunately, the lack of shooting and defensive limitations are two major red flags &lt;/li&gt;
  &lt;/ul&gt;
  &lt;br&gt;  &lt;li&gt;&lt;b&gt;&lt;a 
    target='_blank' href='https://www.nba.com/draft/2021/prospects/jonathan-kuminga'&gt;Jonathan Kuminga&lt;/a&gt;&lt;/b&gt;
    - &lt;i&gt;
    &lt;a target='_blank' href='https://www.nbadraft.net/players/jonathan-kuminga'&gt;W &lt;/a&gt;&lt;/b&gt;
    - 
    &lt;a target='_blank'href='https://www.basketball-reference.com/gleague/players/k/kuminjo01d.html'&gt;G League Ignite&lt;/a&gt;&lt;/b&gt; &lt;/i&gt;&lt;/li&gt;
  &lt;ul style='list-style-type:none'&gt;
    &lt;li&gt;Age: 18.7 &lt;/li&gt;
    &lt;li&gt;Height: 78 in &lt;/li&gt;
    &lt;li&gt;Weight: 210 lbs &lt;/li&gt;
    &lt;li&gt;++: age, physical profile &lt;/li&gt;
    &lt;li&gt;+: athleticism, shot creation &lt;/li&gt;
    &lt;li&gt;-: shooting, IQ, motor &lt;/li&gt;
    &lt;li&gt;Additional Notes: Potentially the best physical profile in the class, but also the most 'huh?' type plays that can weigh a team down &lt;/li&gt;
  &lt;/ul&gt;
  &lt;br&gt;  &lt;li&gt;&lt;b&gt;&lt;a 
    target='_blank' href='https://www.nba.com/draft/2021/prospects/alperen-sengun'&gt;Alperen Sengun&lt;/a&gt;&lt;/b&gt;
    - &lt;i&gt;
    &lt;a target='_blank' href='https://www.nbadraft.net/players/alperen-sengun'&gt;C &lt;/a&gt;&lt;/b&gt;
    - 
    &lt;a target='_blank'href='https://www.basketball-reference.com/international/players/alperen-sengun-1.html'&gt;Besiktas&lt;/a&gt;&lt;/b&gt; &lt;/i&gt;&lt;/li&gt;
  &lt;ul style='list-style-type:none'&gt;
    &lt;li&gt;Age: 18.9 &lt;/li&gt;
    &lt;li&gt;Height: 81 in &lt;/li&gt;
    &lt;li&gt;Weight: 240 lbs &lt;/li&gt;
    &lt;li&gt;++: statistical production &lt;/li&gt;
    &lt;li&gt;+: age, all-around offensive game, rebounding, IQ &lt;/li&gt;
    &lt;li&gt;-: defensive impact, size/athleticism as lone big &lt;/li&gt;
    &lt;li&gt;Additional Notes: The best statistical profile in the class, but question marks surrounding whether he can stay on the floor defensively against playoff opponents while playing the most demanding defensive position &lt;/li&gt;
  &lt;/ul&gt;
  &lt;br&gt;  &lt;li&gt;&lt;b&gt;&lt;a 
    target='_blank' href='https://www.nba.com/draft/2021/prospects/moses-moody'&gt;Moses Moody&lt;/a&gt;&lt;/b&gt;
    - &lt;i&gt;
    &lt;a target='_blank' href='https://www.nbadraft.net/players/moses-moody'&gt;W &lt;/a&gt;&lt;/b&gt;
    - 
    &lt;a target='_blank'href='https://www.sports-reference.com/cbb/players/moses-moody-1.html'&gt;Arkansas&lt;/a&gt;&lt;/b&gt; &lt;/i&gt;&lt;/li&gt;
  &lt;ul style='list-style-type:none'&gt;
    &lt;li&gt;Grade: Freshman &lt;/li&gt;
    &lt;li&gt;Age: 19.1 &lt;/li&gt;
    &lt;li&gt;Height: 78 in &lt;/li&gt;
    &lt;li&gt;Weight: 210.6 lbs &lt;/li&gt;
    &lt;li&gt;Wingspan: 84.75 in &lt;/li&gt;
    &lt;li&gt;Reach: 105 in &lt;/li&gt;
    &lt;li&gt;Ape: +6.75 &lt;/li&gt;
    &lt;li&gt;+: age, shooting, length, rebounding, foul drawing, defensive versatility &lt;/li&gt;
    &lt;li&gt;-: defensive impact, offensive skill &lt;/li&gt;
    &lt;li&gt;Additional Notes: The 3-and-D type of prospect every team needs, as he has just enough shooting and secondary offensive skills to hold up on that end, and his defensive versatility will play defensively. However, as his defense is more 'capable' than 'disruptive' he lacks the upside of a traditional lottery pick &lt;/li&gt;
  &lt;/ul&gt;
  &lt;br&gt;
  &lt;/ol&gt;
  &lt;h2&gt; Tier 4 (~50 FV)&lt;/h2&gt;
  &lt;ol start='11 '&gt;
    &lt;li&gt;&lt;b&gt;&lt;a 
    target='_blank' href='https://www.nba.com/draft/2021/prospects/jaden-springer'&gt;Jaden Springer&lt;/a&gt;&lt;/b&gt;
    - &lt;i&gt;
    &lt;a target='_blank' href='https://www.nbadraft.net/players/jaden-springer'&gt;G &lt;/a&gt;&lt;/b&gt;
    - 
    &lt;a target='_blank'href='https://www.sports-reference.com/cbb/players/jaden-springer-1.html'&gt;Tennessee&lt;/a&gt;&lt;/b&gt; &lt;/i&gt;&lt;/li&gt;
  &lt;ul style='list-style-type:none'&gt;
    &lt;li&gt;Grade: Freshman &lt;/li&gt;
    &lt;li&gt;Age: 18.7 &lt;/li&gt;
    &lt;li&gt;Height: 76.25 in &lt;/li&gt;
    &lt;li&gt;Weight: 202 lbs &lt;/li&gt;
    &lt;li&gt;Wingspan: 79.75 in &lt;/li&gt;
    &lt;li&gt;Reach: 99 in &lt;/li&gt;
    &lt;li&gt;Ape: +3.5 &lt;/li&gt;
    &lt;li&gt;++: age &lt;/li&gt;
    &lt;li&gt;+: guard defense, foul drawing, shooting &lt;/li&gt;
    &lt;li&gt;-: size, athleticism, shot creation, interior finishing &lt;/li&gt;
    &lt;li&gt;Additional Notes: Ideally fits next to a high usage point guard where he can operate as an off ball shooter/secondary ball-handler, while taking on the tougher defensive assignment &lt;/li&gt;
  &lt;/ul&gt;
  &lt;br&gt;  &lt;li&gt;&lt;b&gt;&lt;a 
    target='_blank' href='https://www.nba.com/draft/2021/prospects/jalen-johnson'&gt;Jalen Johnson&lt;/a&gt;&lt;/b&gt;
    - &lt;i&gt;
    &lt;a target='_blank' href='https://www.nbadraft.net/players/jalen-johnson'&gt;F &lt;/a&gt;&lt;/b&gt;
    - 
    &lt;a target='_blank'href='https://www.sports-reference.com/cbb/players/jalen-johnson-24.html'&gt;Duke&lt;/a&gt;&lt;/b&gt; &lt;/i&gt;&lt;/li&gt;
  &lt;ul style='list-style-type:none'&gt;
    &lt;li&gt;Grade: Freshman &lt;/li&gt;
    &lt;li&gt;Age: 19.5 &lt;/li&gt;
    &lt;li&gt;Height: 81.25 in &lt;/li&gt;
    &lt;li&gt;Weight: 209.6 lbs &lt;/li&gt;
    &lt;li&gt;Wingspan: 84.25 in &lt;/li&gt;
    &lt;li&gt;Reach: 106 in &lt;/li&gt;
    &lt;li&gt;Ape: +3 &lt;/li&gt;
    &lt;li&gt;+: size, point-forward capabilities, impact off-ball defense &lt;/li&gt;
    &lt;li&gt;-: turnover concerns, shooting, motor, consistency &lt;/li&gt;
    &lt;li&gt;Additional Notes: Would rank higher based on skills, but consistency on and off the court drag him down &lt;/li&gt;
  &lt;/ul&gt;
  &lt;br&gt;  &lt;li&gt;&lt;b&gt;&lt;a 
    target='_blank' href='https://www.nba.com/draft/2021/prospects/james-bouknight'&gt;James Bouknight&lt;/a&gt;&lt;/b&gt;
    - &lt;i&gt;
    &lt;a target='_blank' href='https://www.nbadraft.net/players/james-bouknight'&gt;SG &lt;/a&gt;&lt;/b&gt;
    - 
    &lt;a target='_blank'href='https://www.sports-reference.com/cbb/players/james-bouknight-1.html'&gt;Connecticut&lt;/a&gt;&lt;/b&gt; &lt;/i&gt;&lt;/li&gt;
  &lt;ul style='list-style-type:none'&gt;
    &lt;li&gt;Grade: Sophomore &lt;/li&gt;
    &lt;li&gt;Age: 20.8 &lt;/li&gt;
    &lt;li&gt;Height: 76.75 in &lt;/li&gt;
    &lt;li&gt;Weight: 190 lbs &lt;/li&gt;
    &lt;li&gt;Wingspan: 80.25 in &lt;/li&gt;
    &lt;li&gt;Reach: 101.5 in &lt;/li&gt;
    &lt;li&gt;Ape: +3.5 &lt;/li&gt;
    &lt;li&gt;+: shot creation, athleticism &lt;/li&gt;
    &lt;li&gt;-: playmaking, frame, defense &lt;/li&gt;
    &lt;li&gt;Additional Notes: Gets buckets, doesn't do a hell of a lot else &lt;/li&gt;
  &lt;/ul&gt;
  &lt;br&gt;
  &lt;/ol&gt;
  &lt;h2&gt; Tier 5 (~45+ FV)&lt;/h2&gt;
  &lt;ol start='14 '&gt;
    &lt;li&gt;&lt;b&gt;&lt;a 
    target='_blank' href='https://www.nba.com/draft/2021/prospects/jared-butler'&gt;Jared Butler&lt;/a&gt;&lt;/b&gt;
    - &lt;i&gt;
    &lt;a target='_blank' href='https://www.nbadraft.net/players/jared-butler'&gt;PG &lt;/a&gt;&lt;/b&gt;
    - 
    &lt;a target='_blank'href='https://www.sports-reference.com/cbb/players/jared-butler-1.html'&gt;Baylor&lt;/a&gt;&lt;/b&gt; &lt;/i&gt;&lt;/li&gt;
  &lt;ul style='list-style-type:none'&gt;
    &lt;li&gt;Grade: Junior &lt;/li&gt;
    &lt;li&gt;Age: 18.8 &lt;/li&gt;
    &lt;li&gt;Height: 75.75 in &lt;/li&gt;
    &lt;li&gt;Weight: 193 lbs &lt;/li&gt;
    &lt;li&gt;Wingspan: 76 in &lt;/li&gt;
    &lt;li&gt;Reach: 98.5 in &lt;/li&gt;
    &lt;li&gt;Ape: +0.25 &lt;/li&gt;
    &lt;li&gt;+: shooting, playmaking, IQ &lt;/li&gt;
    &lt;li&gt;-: size, athleticism &lt;/li&gt;
  &lt;/ul&gt;
  &lt;br&gt;  &lt;li&gt;&lt;b&gt;&lt;a 
    target='_blank' href='https://www.nba.com/draft/2021/prospects/keon-johnson'&gt;Keon Johnson&lt;/a&gt;&lt;/b&gt;
    - &lt;i&gt;
    &lt;a target='_blank' href='https://www.nbadraft.net/players/keon-johnson'&gt;SG &lt;/a&gt;&lt;/b&gt;
    - 
    &lt;a target='_blank'href='https://www.sports-reference.com/cbb/players/keon-johnson-2.html'&gt;Tennessee&lt;/a&gt;&lt;/b&gt; &lt;/i&gt;&lt;/li&gt;
  &lt;ul style='list-style-type:none'&gt;
    &lt;li&gt;Grade: Freshman &lt;/li&gt;
    &lt;li&gt;Age: 19.3 &lt;/li&gt;
    &lt;li&gt;Height: 76.75 in &lt;/li&gt;
    &lt;li&gt;Weight: 184.8 lbs &lt;/li&gt;
    &lt;li&gt;Wingspan: 79.25 in &lt;/li&gt;
    &lt;li&gt;Reach: 97 in &lt;/li&gt;
    &lt;li&gt;Ape: +2.5 &lt;/li&gt;
    &lt;li&gt;++: athletcism &lt;/li&gt;
    &lt;li&gt;+: age, usage &lt;/li&gt;
    &lt;li&gt;-: size, shot seletion, shooting, decision making &lt;/li&gt;
    &lt;li&gt;Additional Notes: Not a lot of production nor a lot of refined skill, so you're betting on the athleticism…luckily he's a raw nuclear athlete so there's room to dream. &lt;/li&gt;
  &lt;/ul&gt;
  &lt;br&gt;  &lt;li&gt;&lt;b&gt;&lt;a 
    target='_blank' href='https://www.nba.com/draft/2021/prospects/bj-boston'&gt;Brandon Boston Jr.&lt;/a&gt;&lt;/b&gt;
    - &lt;i&gt;
    &lt;a target='_blank' href='https://www.nbadraft.net/players/brandon-boston/'&gt;W &lt;/a&gt;&lt;/b&gt;
    - 
    &lt;a target='_blank'href='https://www.sports-reference.com/cbb/players/brandon-bostonjr-1.html'&gt;Kentucky&lt;/a&gt;&lt;/b&gt; &lt;/i&gt;&lt;/li&gt;
  &lt;ul style='list-style-type:none'&gt;
    &lt;li&gt;Grade: Freshman &lt;/li&gt;
    &lt;li&gt;Age: 19.6 &lt;/li&gt;
    &lt;li&gt;Height: 79 in &lt;/li&gt;
    &lt;li&gt;Weight: 188 lbs &lt;/li&gt;
    &lt;li&gt;Wingspan: 82.75 in &lt;/li&gt;
    &lt;li&gt;Reach: 104 in &lt;/li&gt;
    &lt;li&gt;Ape: +3.75 &lt;/li&gt;
    &lt;li&gt;+: pedigree, shot creation &lt;/li&gt;
    &lt;li&gt;-: shot selection, weight &lt;/li&gt;
  &lt;/ul&gt;
  &lt;br&gt;  &lt;li&gt;&lt;b&gt;&lt;a 
    target='_blank' href='https://www.nba.com/draft/2021/prospects/ziaire-williams'&gt;Ziaire Williams&lt;/a&gt;&lt;/b&gt;
    - &lt;i&gt;
    &lt;a target='_blank' href='https://www.nbadraft.net/players/ziaire-williams'&gt;W &lt;/a&gt;&lt;/b&gt;
    - 
    &lt;a target='_blank'href='https://www.sports-reference.com/cbb/players/ziaire-williams-1.html'&gt;Stanford&lt;/a&gt;&lt;/b&gt; &lt;/i&gt;&lt;/li&gt;
  &lt;ul style='list-style-type:none'&gt;
    &lt;li&gt;Grade: Freshman &lt;/li&gt;
    &lt;li&gt;Age: 19.8 &lt;/li&gt;
    &lt;li&gt;Height: 81.75 in &lt;/li&gt;
    &lt;li&gt;Weight: 188.4 lbs &lt;/li&gt;
    &lt;li&gt;Wingspan: 82.25 in &lt;/li&gt;
    &lt;li&gt;Reach: 106.5 in &lt;/li&gt;
    &lt;li&gt;Ape: +0.5 &lt;/li&gt;
    &lt;li&gt;+: pedigree, height, athleticism, shot creation &lt;/li&gt;
    &lt;li&gt;-: age, wingspan &lt;/li&gt;
  &lt;/ul&gt;
  &lt;br&gt;  &lt;li&gt;&lt;b&gt;&lt;a 
    target='_blank' href='https://www.nba.com/draft/2021/prospects/usman-garuba'&gt;Usman Garuba&lt;/a&gt;&lt;/b&gt;
    - &lt;i&gt;
    &lt;a target='_blank' href='https://www.nbadraft.net/players/usman-garuba'&gt;F-C &lt;/a&gt;&lt;/b&gt;
    - 
    &lt;a target='_blank'href='https://www.basketball-reference.com/international/players/usman-garuba-1.html'&gt;Real Madrid&lt;/a&gt;&lt;/b&gt; &lt;/i&gt;&lt;/li&gt;
  &lt;ul style='list-style-type:none'&gt;
    &lt;li&gt;Age: 20.3 &lt;/li&gt;
    &lt;li&gt;Height: 80 in &lt;/li&gt;
    &lt;li&gt;Weight: 229 lbs &lt;/li&gt;
    &lt;li&gt;++: motor &lt;/li&gt;
    &lt;li&gt;+: defensive versatility &lt;/li&gt;
    &lt;li&gt;-: size, shooting &lt;/li&gt;
  &lt;/ul&gt;
  &lt;br&gt;  &lt;li&gt;&lt;b&gt;&lt;a 
    target='_blank' href='https://www.nba.com/draft/2021/prospects/miles-mcbride'&gt;Miles McBride&lt;/a&gt;&lt;/b&gt;
    - &lt;i&gt;
    &lt;a target='_blank' href='https://www.nbadraft.net/players/miles-mcbride'&gt;G &lt;/a&gt;&lt;/b&gt;
    - 
    &lt;a target='_blank'href='https://www.sports-reference.com/cbb/players/miles-mcbride-1.html'&gt;West Virginia&lt;/a&gt;&lt;/b&gt; &lt;/i&gt;&lt;/li&gt;
  &lt;ul style='list-style-type:none'&gt;
    &lt;li&gt;Grade: Sophomore &lt;/li&gt;
    &lt;li&gt;Age: 20.8 &lt;/li&gt;
    &lt;li&gt;Height: 74.5 in &lt;/li&gt;
    &lt;li&gt;Weight: 195.2 lbs &lt;/li&gt;
    &lt;li&gt;Wingspan: 80.75 in &lt;/li&gt;
    &lt;li&gt;Reach: 99.5 in &lt;/li&gt;
    &lt;li&gt;Ape: +6.25 &lt;/li&gt;
    &lt;li&gt;+: wingspan, shooting, playmaking, guard defense &lt;/li&gt;
    &lt;li&gt;-: height, shot creation &lt;/li&gt;
  &lt;/ul&gt;
  &lt;br&gt;  &lt;li&gt;&lt;b&gt;&lt;a 
    target='_blank' href='https://www.nba.com/draft/2021/prospects/corey-kispert'&gt;Corey Kispert&lt;/a&gt;&lt;/b&gt;
    - &lt;i&gt;
    &lt;a target='_blank' href='https://www.nbadraft.net/players/corey-kispert'&gt;W &lt;/a&gt;&lt;/b&gt;
    - 
    &lt;a target='_blank'href='https://www.sports-reference.com/cbb/players/corey-kispert-1.html'&gt;Gonzaga&lt;/a&gt;&lt;/b&gt; &lt;/i&gt;&lt;/li&gt;
  &lt;ul style='list-style-type:none'&gt;
    &lt;li&gt;Grade: Senior &lt;/li&gt;
    &lt;li&gt;Age: 22.3 &lt;/li&gt;
    &lt;li&gt;Height: 79.25 in &lt;/li&gt;
    &lt;li&gt;Weight: 223.8 lbs &lt;/li&gt;
    &lt;li&gt;Wingspan: 79 in &lt;/li&gt;
    &lt;li&gt;Reach: 102 in &lt;/li&gt;
    &lt;li&gt;Ape: -0.25 &lt;/li&gt;
    &lt;li&gt;++: shooting &lt;/li&gt;
    &lt;li&gt;+: height, strength, IQ &lt;/li&gt;
    &lt;li&gt;-: age, wingspan, shot creation, athleticism &lt;/li&gt;
  &lt;/ul&gt;
  &lt;br&gt;
  &lt;/ol&gt;
  &lt;h2&gt; Tier 6 (~45 FV)&lt;/h2&gt;
  &lt;ol start='21 '&gt;
    &lt;li&gt;&lt;b&gt;&lt;a 
    target='_blank' href='https://www.nba.com/draft/2021/prospects/joshua-primo'&gt;Joshua Primo&lt;/a&gt;&lt;/b&gt;
    - &lt;i&gt;
    &lt;a target='_blank' href='https://www.nbadraft.net/players/joshua-primo'&gt;G-W &lt;/a&gt;&lt;/b&gt;
    - 
    &lt;a target='_blank'href='https://www.sports-reference.com/cbb/players/joshua-primo-1.html'&gt;Alabama&lt;/a&gt;&lt;/b&gt; &lt;/i&gt;&lt;/li&gt;
  &lt;ul style='list-style-type:none'&gt;
    &lt;li&gt;Grade: Freshman &lt;/li&gt;
    &lt;li&gt;Age: 18.5 &lt;/li&gt;
    &lt;li&gt;Height: 77 in &lt;/li&gt;
    &lt;li&gt;Weight: 189 lbs &lt;/li&gt;
    &lt;li&gt;Wingspan: 81.25 in &lt;/li&gt;
    &lt;li&gt;Reach: 102.5 in &lt;/li&gt;
    &lt;li&gt;Ape: +4.25 &lt;/li&gt;
    &lt;li&gt;++: age &lt;/li&gt;
    &lt;li&gt;+: shooting, length &lt;/li&gt;
    &lt;li&gt;-: athleticism, playmaking &lt;/li&gt;
  &lt;/ul&gt;
  &lt;br&gt;  &lt;li&gt;&lt;b&gt;&lt;a 
    target='_blank' href='https://www.nba.com/draft/2021/prospects/jt-thor'&gt;JT Thor&lt;/a&gt;&lt;/b&gt;
    - &lt;i&gt;
    &lt;a target='_blank' href='https://www.nbadraft.net/players/jt-thor'&gt;PF &lt;/a&gt;&lt;/b&gt;
    - 
    &lt;a target='_blank'href='https://www.sports-reference.com/cbb/players/jt-thor-1.html'&gt;Auburn&lt;/a&gt;&lt;/b&gt; &lt;/i&gt;&lt;/li&gt;
  &lt;ul style='list-style-type:none'&gt;
    &lt;li&gt;Grade: Freshman &lt;/li&gt;
    &lt;li&gt;Age: 18.8 &lt;/li&gt;
    &lt;li&gt;Height: 81.25 in &lt;/li&gt;
    &lt;li&gt;Weight: 203 lbs &lt;/li&gt;
    &lt;li&gt;Wingspan: 87.25 in &lt;/li&gt;
    &lt;li&gt;Reach: 110 in &lt;/li&gt;
    &lt;li&gt;Ape: +6 &lt;/li&gt;
    &lt;li&gt;++: age &lt;/li&gt;
    &lt;li&gt;+: height, wingspan, athleticism, shot blocking &lt;/li&gt;
    &lt;li&gt;-: skill refinement, IQ &lt;/li&gt;
  &lt;/ul&gt;
  &lt;br&gt;  &lt;li&gt;&lt;b&gt;&lt;a 
    target='_blank' href='https://www.nba.com/draft/2021/prospects/isaiah-jackson'&gt;Isaiah Jackson&lt;/a&gt;&lt;/b&gt;
    - &lt;i&gt;
    &lt;a target='_blank' href='https://www.nbadraft.net/players/isaiah-jackson'&gt;C &lt;/a&gt;&lt;/b&gt;
    - 
    &lt;a target='_blank'href='https://www.sports-reference.com/cbb/players/isaiah-jackson-3.html'&gt;Kentucky&lt;/a&gt;&lt;/b&gt; &lt;/i&gt;&lt;/li&gt;
  &lt;ul style='list-style-type:none'&gt;
    &lt;li&gt;Grade: Freshman &lt;/li&gt;
    &lt;li&gt;Age: 19.4 &lt;/li&gt;
    &lt;li&gt;Height: 82 in &lt;/li&gt;
    &lt;li&gt;Weight: 205 lbs &lt;/li&gt;
    &lt;li&gt;++: rim protection &lt;/li&gt;
    &lt;li&gt;+: athleticism, lob finishing &lt;/li&gt;
    &lt;li&gt;-: size &lt;/li&gt;
    &lt;li&gt;--: foul happy, chases blocks &lt;/li&gt;
  &lt;/ul&gt;
  &lt;br&gt;  &lt;li&gt;&lt;b&gt;&lt;a 
    target='_blank' href='https://www.nba.com/draft/2021/prospects/josh-christopher'&gt;Josh Christopher&lt;/a&gt;&lt;/b&gt;
    - &lt;i&gt;
    &lt;a target='_blank' href='https://www.nbadraft.net/players/josh-christopher'&gt;SG &lt;/a&gt;&lt;/b&gt;
    - 
    &lt;a target='_blank'href='https://www.sports-reference.com/cbb/players/josh-christopher-1.html'&gt;Arizona State&lt;/a&gt;&lt;/b&gt; &lt;/i&gt;&lt;/li&gt;
  &lt;ul style='list-style-type:none'&gt;
    &lt;li&gt;Grade: Freshman &lt;/li&gt;
    &lt;li&gt;Age: 19.5 &lt;/li&gt;
    &lt;li&gt;Height: 76.5 in &lt;/li&gt;
    &lt;li&gt;Weight: 214.8 lbs &lt;/li&gt;
    &lt;li&gt;Wingspan: 81.25 in &lt;/li&gt;
    &lt;li&gt;Reach: 101 in &lt;/li&gt;
    &lt;li&gt;Ape: +4.75 &lt;/li&gt;
    &lt;li&gt;+: defensive upside, athleticism, individual shot creation &lt;/li&gt;
    &lt;li&gt;-: defensive consistency, shooting &lt;/li&gt;
  &lt;/ul&gt;
  &lt;br&gt;  &lt;li&gt;&lt;b&gt;&lt;a 
    target='_blank' href='https://www.nba.com/draft/2021/prospects/cameron-thomas'&gt;Cameron Thomas&lt;/a&gt;&lt;/b&gt;
    - &lt;i&gt;
    &lt;a target='_blank' href='https://www.nbadraft.net/players/cameron-thomas'&gt;G &lt;/a&gt;&lt;/b&gt;
    - 
    &lt;a target='_blank'href='https://www.sports-reference.com/cbb/players/cameron-thomas-1.html'&gt;LSU&lt;/a&gt;&lt;/b&gt; &lt;/i&gt;&lt;/li&gt;
  &lt;ul style='list-style-type:none'&gt;
    &lt;li&gt;Grade: Freshman &lt;/li&gt;
    &lt;li&gt;Age: 19.7 &lt;/li&gt;
    &lt;li&gt;Height: 76 in &lt;/li&gt;
    &lt;li&gt;Weight: 210 lbs &lt;/li&gt;
    &lt;li&gt;+: all aspects of scoring, frame &lt;/li&gt;
    &lt;li&gt;-: age &lt;/li&gt;
    &lt;li&gt;--: passing, decision making, defense &lt;/li&gt;
  &lt;/ul&gt;
  &lt;br&gt;  &lt;li&gt;&lt;b&gt;&lt;a 
    target='_blank' href='https://www.nba.com/draft/2021/prospects/sharife-cooper'&gt;Sharife Cooper&lt;/a&gt;&lt;/b&gt;
    - &lt;i&gt;
    &lt;a target='_blank' href='https://www.nbadraft.net/players/sharife-cooper'&gt;PG &lt;/a&gt;&lt;/b&gt;
    - 
    &lt;a target='_blank'href='https://www.sports-reference.com/cbb/players/sharife-cooper-1.html'&gt;Auburn&lt;/a&gt;&lt;/b&gt; &lt;/i&gt;&lt;/li&gt;
  &lt;ul style='list-style-type:none'&gt;
    &lt;li&gt;Grade: Freshman &lt;/li&gt;
    &lt;li&gt;Age: 20 &lt;/li&gt;
    &lt;li&gt;Height: 73 in &lt;/li&gt;
    &lt;li&gt;Weight: 180 lbs &lt;/li&gt;
    &lt;li&gt;++: shot creation, playmaking &lt;/li&gt;
    &lt;li&gt;+: foul drawing &lt;/li&gt;
    &lt;li&gt;--: age, size, defense &lt;/li&gt;
  &lt;/ul&gt;
  &lt;br&gt;  &lt;li&gt;&lt;b&gt;&lt;a 
    target='_blank' href='https://www.nba.com/draft/2021/prospects/kai-jones'&gt;Kai Jones&lt;/a&gt;&lt;/b&gt;
    - &lt;i&gt;
    &lt;a target='_blank' href='https://www.nbadraft.net/players/kai-jones'&gt;F-C &lt;/a&gt;&lt;/b&gt;
    - 
    &lt;a target='_blank'href='https://www.sports-reference.com/cbb/players/kai-jones-1.html'&gt;Texas&lt;/a&gt;&lt;/b&gt; &lt;/i&gt;&lt;/li&gt;
  &lt;ul style='list-style-type:none'&gt;
    &lt;li&gt;Grade: Sophomore &lt;/li&gt;
    &lt;li&gt;Age: 20.4 &lt;/li&gt;
    &lt;li&gt;Height: 83.5 in &lt;/li&gt;
    &lt;li&gt;Weight: 221.4 lbs &lt;/li&gt;
    &lt;li&gt;Wingspan: 85.75 in &lt;/li&gt;
    &lt;li&gt;Reach: 110.5 in &lt;/li&gt;
    &lt;li&gt;Ape: +2.25 &lt;/li&gt;
    &lt;li&gt;+: lob thread, mobility &lt;/li&gt;
    &lt;li&gt;-: frame, hands, shooting &lt;/li&gt;
  &lt;/ul&gt;
  &lt;br&gt;  &lt;li&gt;&lt;b&gt;&lt;a 
    target='_blank' href='https://www.nba.com/draft/2021/prospects/trey-murphy'&gt;Trey Murphy III&lt;/a&gt;&lt;/b&gt;
    - &lt;i&gt;
    &lt;a target='_blank' href='https://www.nbadraft.net/players/trey-murphy'&gt;SF &lt;/a&gt;&lt;/b&gt;
    - 
    &lt;a target='_blank'href='https://www.sports-reference.com/cbb/players/trey-murphyiii-1.html'&gt;Virginia&lt;/a&gt;&lt;/b&gt; &lt;/i&gt;&lt;/li&gt;
  &lt;ul style='list-style-type:none'&gt;
    &lt;li&gt;Grade: Junior &lt;/li&gt;
    &lt;li&gt;Age: 21 &lt;/li&gt;
    &lt;li&gt;Height: 81.25 in &lt;/li&gt;
    &lt;li&gt;Weight: 206 lbs &lt;/li&gt;
    &lt;li&gt;Wingspan: 84 in &lt;/li&gt;
    &lt;li&gt;Reach: 105.5 in &lt;/li&gt;
    &lt;li&gt;Ape: +2.75 &lt;/li&gt;
    &lt;li&gt;+: height, defense, shooting &lt;/li&gt;
    &lt;li&gt;-: strength, shot creation, movement shooting &lt;/li&gt;
  &lt;/ul&gt;
  &lt;br&gt;  &lt;li&gt;&lt;b&gt;&lt;a 
    target='_blank' href='https://www.nba.com/draft/2021/prospects/neemias-queta'&gt;Neemias Queta&lt;/a&gt;&lt;/b&gt;
    - &lt;i&gt;
    &lt;a target='_blank' href='https://www.nbadraft.net/players/neemias-queta'&gt;C &lt;/a&gt;&lt;/b&gt;
    - 
    &lt;a target='_blank'href='https://www.sports-reference.com/cbb/players/neemias-queta-1.html'&gt;Utah State&lt;/a&gt;&lt;/b&gt; &lt;/i&gt;&lt;/li&gt;
  &lt;ul style='list-style-type:none'&gt;
    &lt;li&gt;Grade: Junior &lt;/li&gt;
    &lt;li&gt;Age: 21.9 &lt;/li&gt;
    &lt;li&gt;Height: 84.5 in &lt;/li&gt;
    &lt;li&gt;Weight: 248.4 lbs &lt;/li&gt;
    &lt;li&gt;Wingspan: 88 in &lt;/li&gt;
    &lt;li&gt;Reach: 112.5 in &lt;/li&gt;
    &lt;li&gt;Ape: +3.5 &lt;/li&gt;
    &lt;li&gt;+: size, interior defense, passing, motor &lt;/li&gt;
    &lt;li&gt;-: mobility, role &lt;/li&gt;
  &lt;/ul&gt;
  &lt;br&gt;  &lt;li&gt;&lt;b&gt;&lt;a 
    target='_blank' href='https://www.nba.com/draft/2021/prospects/herbert-jones'&gt;Herbert Jones&lt;/a&gt;&lt;/b&gt;
    - &lt;i&gt;
    &lt;a target='_blank' href='https://www.nbadraft.net/players/herb-jones/'&gt;W-F &lt;/a&gt;&lt;/b&gt;
    - 
    &lt;a target='_blank'href='https://www.sports-reference.com/cbb/players/herb-jones-3.html'&gt;Alabama&lt;/a&gt;&lt;/b&gt; &lt;/i&gt;&lt;/li&gt;
  &lt;ul style='list-style-type:none'&gt;
    &lt;li&gt;Grade: Senior &lt;/li&gt;
    &lt;li&gt;Age: 22.7 &lt;/li&gt;
    &lt;li&gt;Height: 79.25 in &lt;/li&gt;
    &lt;li&gt;Weight: 206.4 lbs &lt;/li&gt;
    &lt;li&gt;Wingspan: 84.25 in &lt;/li&gt;
    &lt;li&gt;Reach: 106 in &lt;/li&gt;
    &lt;li&gt;Ape: +5 &lt;/li&gt;
    &lt;li&gt;++: frame &lt;/li&gt;
    &lt;li&gt;+: defensive versatility, passing &lt;/li&gt;
    &lt;li&gt;-: age, shooting &lt;/li&gt;
  &lt;/ul&gt;
  &lt;br&gt;  &lt;li&gt;&lt;b&gt;&lt;a 
    target='_blank' href='https://www.nba.com/draft/2021/prospects/davion-mitchell'&gt;Davion Mitchell&lt;/a&gt;&lt;/b&gt;
    - &lt;i&gt;
    &lt;a target='_blank' href='https://www.nbadraft.net/players/davion-mitchell'&gt;PG &lt;/a&gt;&lt;/b&gt;
    - 
    &lt;a target='_blank'href='https://www.sports-reference.com/cbb/players/davion-mitchell-1.html'&gt;Baylor&lt;/a&gt;&lt;/b&gt; &lt;/i&gt;&lt;/li&gt;
  &lt;ul style='list-style-type:none'&gt;
    &lt;li&gt;Grade: Junior &lt;/li&gt;
    &lt;li&gt;Age: 22.8 &lt;/li&gt;
    &lt;li&gt;Height: 73.25 in &lt;/li&gt;
    &lt;li&gt;Weight: 202.4 lbs &lt;/li&gt;
    &lt;li&gt;Wingspan: 76.25 in &lt;/li&gt;
    &lt;li&gt;Reach: 96.5 in &lt;/li&gt;
    &lt;li&gt;Ape: +3 &lt;/li&gt;
    &lt;li&gt;+: on-ball guard defense, interior finishing, shot creation &lt;/li&gt;
    &lt;li&gt;-: single season outlier performance, foul drawing, shooting &lt;/li&gt;
    &lt;li&gt;--: age, height &lt;/li&gt;
  &lt;/ul&gt;
  &lt;br&gt;  &lt;li&gt;&lt;b&gt;&lt;a 
    target='_blank' href='https://www.nba.com/draft/2021/prospects/chris-duarte'&gt;Chris Duarte&lt;/a&gt;&lt;/b&gt;
    - &lt;i&gt;
    &lt;a target='_blank' href='https://www.nbadraft.net/players/chris-duarte'&gt;W &lt;/a&gt;&lt;/b&gt;
    - 
    &lt;a target='_blank'href='https://www.sports-reference.com/cbb/players/chris-duarte-1.html'&gt;Oregon&lt;/a&gt;&lt;/b&gt; &lt;/i&gt;&lt;/li&gt;
  &lt;ul style='list-style-type:none'&gt;
    &lt;li&gt;Grade: Sophomore &lt;/li&gt;
    &lt;li&gt;Age: 24 &lt;/li&gt;
    &lt;li&gt;Height: 78 in &lt;/li&gt;
    &lt;li&gt;Weight: 190 lbs &lt;/li&gt;
    &lt;li&gt;+: shooting, finishing, off-ball defense &lt;/li&gt;
    &lt;li&gt;-: switchability &lt;/li&gt;
    &lt;li&gt;--: age &lt;/li&gt;
  &lt;/ul&gt;
  &lt;br&gt;
  &lt;/ol&gt;
  &lt;h2&gt; Tier 7 (~40+ FV)&lt;/h2&gt;
  &lt;ol start='33 '&gt;
    &lt;li&gt;&lt;b&gt;&lt;a 
    target='_blank' href='https://www.nba.com/draft/2021/prospects/isaiah-todd'&gt;Isaiah Todd&lt;/a&gt;&lt;/b&gt;
    - &lt;i&gt;
    &lt;a target='_blank' href='https://www.nbadraft.net/players/isaiah-todd'&gt;PF &lt;/a&gt;&lt;/b&gt;
    - 
    &lt;a target='_blank'href='https://www.basketball-reference.com/gleague/players/t/toddis01d.html'&gt;G League Ignite&lt;/a&gt;&lt;/b&gt; &lt;/i&gt;&lt;/li&gt;
  &lt;ul style='list-style-type:none'&gt;
    &lt;li&gt;Age: 19.7 &lt;/li&gt;
    &lt;li&gt;Height: 82 in &lt;/li&gt;
    &lt;li&gt;Weight: 219 lbs &lt;/li&gt;
    &lt;li&gt;Wingspan: 85.25 in &lt;/li&gt;
    &lt;li&gt;Reach: 107.5 in &lt;/li&gt;
    &lt;li&gt;Ape: +3.25 &lt;/li&gt;
    &lt;li&gt;+: frame, shooting &lt;/li&gt;
    &lt;li&gt;-: age, physicality &lt;/li&gt;
  &lt;/ul&gt;
  &lt;br&gt;  &lt;li&gt;&lt;b&gt;&lt;a 
    target='_blank' href='https://www.nba.com/draft/2021/prospects/tre-mann'&gt;Tre Mann&lt;/a&gt;&lt;/b&gt;
    - &lt;i&gt;
    &lt;a target='_blank' href='https://www.nbadraft.net/players/tre-mann'&gt;G &lt;/a&gt;&lt;/b&gt;
    - 
    &lt;a target='_blank'href='https://www.sports-reference.com/cbb/players/tre-mann-1.html'&gt;Florida&lt;/a&gt;&lt;/b&gt; &lt;/i&gt;&lt;/li&gt;
  &lt;ul style='list-style-type:none'&gt;
    &lt;li&gt;Grade: Sophomore &lt;/li&gt;
    &lt;li&gt;Age: 20.4 &lt;/li&gt;
    &lt;li&gt;Height: 76.25 in &lt;/li&gt;
    &lt;li&gt;Weight: 177.6 lbs &lt;/li&gt;
    &lt;li&gt;Wingspan: 76 in &lt;/li&gt;
    &lt;li&gt;Reach: 98.5 in &lt;/li&gt;
    &lt;li&gt;Ape: -0.25 &lt;/li&gt;
    &lt;li&gt;+: handle, shot creation &lt;/li&gt;
    &lt;li&gt;-: size, athleticism, defense &lt;/li&gt;
  &lt;/ul&gt;
  &lt;br&gt;  &lt;li&gt;&lt;b&gt;&lt;a 
    target='_blank' href='https://www.nba.com/draft/2021/prospects/santi-aldama'&gt;Santi Aldama&lt;/a&gt;&lt;/b&gt;
    - &lt;i&gt;
    &lt;a target='_blank' href='https://www.nbadraft.net/players/santi-aldama'&gt;W-F &lt;/a&gt;&lt;/b&gt;
    - 
    &lt;a target='_blank'href='https://www.sports-reference.com/cbb/players/santi-aldama-1.html'&gt;Loyola&lt;/a&gt;&lt;/b&gt; &lt;/i&gt;&lt;/li&gt;
  &lt;ul style='list-style-type:none'&gt;
    &lt;li&gt;Grade: Sophomore &lt;/li&gt;
    &lt;li&gt;Age: 20.4 &lt;/li&gt;
    &lt;li&gt;Height: 83 in &lt;/li&gt;
    &lt;li&gt;Weight: 224 lbs &lt;/li&gt;
    &lt;li&gt;+: size, ball skills,  &lt;/li&gt;
    &lt;li&gt;-: strength, athleticism, shooting, quality of competition &lt;/li&gt;
  &lt;/ul&gt;
  &lt;br&gt;  &lt;li&gt;&lt;b&gt;&lt;a 
    target='_blank' href='https://www.nba.com/draft/2021/prospects/bones-hyland'&gt;Nah'Shon Hyland&lt;/a&gt;&lt;/b&gt;
    - &lt;i&gt;
    &lt;a target='_blank' href='https://www.nbadraft.net/players/nah'shon-hyland'&gt;SG &lt;/a&gt;&lt;/b&gt;
    - 
    &lt;a target='_blank'href='https://www.sports-reference.com/cbb/players/nahshon-hyland-1.html'&gt;VCU&lt;/a&gt;&lt;/b&gt; &lt;/i&gt;&lt;/li&gt;
  &lt;ul style='list-style-type:none'&gt;
    &lt;li&gt;Grade: Sophomore &lt;/li&gt;
    &lt;li&gt;Age: 20.8 &lt;/li&gt;
    &lt;li&gt;Height: 75.5 in &lt;/li&gt;
    &lt;li&gt;Weight: 169 lbs &lt;/li&gt;
    &lt;li&gt;Wingspan: 81.25 in &lt;/li&gt;
    &lt;li&gt;Reach: 101.5 in &lt;/li&gt;
    &lt;li&gt;Ape: +5.75 &lt;/li&gt;
    &lt;li&gt;+: shooting, wingspan &lt;/li&gt;
    &lt;li&gt;-: playmaking, frame, defense &lt;/li&gt;
  &lt;/ul&gt;
  &lt;br&gt;  &lt;li&gt;&lt;b&gt;&lt;a 
    target='_blank' href='https://www.nba.com/draft/2021/prospects/ayo-dosunmu'&gt;Ayo Dosunmu&lt;/a&gt;&lt;/b&gt;
    - &lt;i&gt;
    &lt;a target='_blank' href='https://www.nbadraft.net/players/ayo-dosunmu'&gt;W &lt;/a&gt;&lt;/b&gt;
    - 
    &lt;a target='_blank'href='https://www.sports-reference.com/cbb/players/ayo-dosunmu-1.html'&gt;Illinois&lt;/a&gt;&lt;/b&gt; &lt;/i&gt;&lt;/li&gt;
  &lt;ul style='list-style-type:none'&gt;
    &lt;li&gt;Grade: Junior &lt;/li&gt;
    &lt;li&gt;Age: 21.4 &lt;/li&gt;
    &lt;li&gt;Height: 77 in &lt;/li&gt;
    &lt;li&gt;Weight: 194.4 lbs &lt;/li&gt;
    &lt;li&gt;Wingspan: 82.25 in &lt;/li&gt;
    &lt;li&gt;Reach: 102 in &lt;/li&gt;
    &lt;li&gt;Ape: +5.25 &lt;/li&gt;
    &lt;li&gt;+: wingspan, frame, IQ &lt;/li&gt;
    &lt;li&gt;-: shooting, finishing &lt;/li&gt;
  &lt;/ul&gt;
  &lt;br&gt;  &lt;li&gt;&lt;b&gt;&lt;a 
    target='_blank' href='https://www.nba.com/draft/2021/prospects/aaron-henry'&gt;Aaron Henry&lt;/a&gt;&lt;/b&gt;
    - &lt;i&gt;
    &lt;a target='_blank' href='https://www.nbadraft.net/players/aaron-henry'&gt;SF &lt;/a&gt;&lt;/b&gt;
    - 
    &lt;a target='_blank'href='https://www.sports-reference.com/cbb/players/aaron-henry-1.html'&gt;Michigan State&lt;/a&gt;&lt;/b&gt; &lt;/i&gt;&lt;/li&gt;
  &lt;ul style='list-style-type:none'&gt;
    &lt;li&gt;Grade: Junior &lt;/li&gt;
    &lt;li&gt;Age: 21.8 &lt;/li&gt;
    &lt;li&gt;Height: 78 in &lt;/li&gt;
    &lt;li&gt;Weight: 209.6 lbs &lt;/li&gt;
    &lt;li&gt;Wingspan: 82.75 in &lt;/li&gt;
    &lt;li&gt;Reach: 103.5 in &lt;/li&gt;
    &lt;li&gt;Ape: +4.75 &lt;/li&gt;
    &lt;li&gt;+: frame, on-ball defensive versatility &lt;/li&gt;
    &lt;li&gt;-: shooting &lt;/li&gt;
  &lt;/ul&gt;
  &lt;br&gt;  &lt;li&gt;&lt;b&gt;&lt;a 
    target='_blank' href='https://www.nba.com/draft/2021/prospects/joe-wieskamp'&gt;Joe Wieskamp&lt;/a&gt;&lt;/b&gt;
    - &lt;i&gt;
    &lt;a target='_blank' href='https://www.nbadraft.net/players/joe-wieskamp'&gt;W &lt;/a&gt;&lt;/b&gt;
    - 
    &lt;a target='_blank'href='https://www.sports-reference.com/cbb/players/joe-wieskamp-1.html'&gt;Iowa&lt;/a&gt;&lt;/b&gt; &lt;/i&gt;&lt;/li&gt;
  &lt;ul style='list-style-type:none'&gt;
    &lt;li&gt;Grade: Junior &lt;/li&gt;
    &lt;li&gt;Age: 21.8 &lt;/li&gt;
    &lt;li&gt;Height: 79.25 in &lt;/li&gt;
    &lt;li&gt;Weight: 204.8 lbs &lt;/li&gt;
    &lt;li&gt;Wingspan: 83 in &lt;/li&gt;
    &lt;li&gt;Reach: 103 in &lt;/li&gt;
    &lt;li&gt;Ape: +3.75 &lt;/li&gt;
    &lt;li&gt;+: shooting, athleticism, wingspan &lt;/li&gt;
    &lt;li&gt;-: defense, shot creation &lt;/li&gt;
  &lt;/ul&gt;
  &lt;br&gt;  &lt;li&gt;&lt;b&gt;&lt;a 
    target='_blank' href='https://www.nba.com/draft/2021/prospects/jason-preston'&gt;Jason Preston&lt;/a&gt;&lt;/b&gt;
    - &lt;i&gt;
    &lt;a target='_blank' href='https://www.nbadraft.net/players/jason-preston'&gt;PG &lt;/a&gt;&lt;/b&gt;
    - 
    &lt;a target='_blank'href='https://www.sports-reference.com/cbb/players/jason-preston-1.html'&gt;Ohio&lt;/a&gt;&lt;/b&gt; &lt;/i&gt;&lt;/li&gt;
  &lt;ul style='list-style-type:none'&gt;
    &lt;li&gt;Grade: Junior &lt;/li&gt;
    &lt;li&gt;Age: 21.9 &lt;/li&gt;
    &lt;li&gt;Height: 76 in &lt;/li&gt;
    &lt;li&gt;Weight: 180.6 lbs &lt;/li&gt;
    &lt;li&gt;Wingspan: 80.5 in &lt;/li&gt;
    &lt;li&gt;Reach: 100.5 in &lt;/li&gt;
    &lt;li&gt;Ape: +4.5 &lt;/li&gt;
    &lt;li&gt;+: wingspan, rebounding, finishing, passing, IQ &lt;/li&gt;
    &lt;li&gt;-: foul drawing, defense, shot creation &lt;/li&gt;
  &lt;/ul&gt;
  &lt;br&gt;
  &lt;/ol&gt;
  &lt;h2&gt; Tier 8 (~0 FV)&lt;/h2&gt;
  &lt;ol start='HM. '&gt;
    &lt;li&gt;&lt;b&gt;&lt;a 
    target='_blank' href='https://www.nba.com/draft/2021/prospects/juhann-begarin'&gt;Juhann Begarin&lt;/a&gt;&lt;/b&gt;
    - &lt;i&gt;
    &lt;a target='_blank' href='https://www.nbadraft.net/players/juhann-begarin'&gt;G &lt;/a&gt;&lt;/b&gt;
    - 
    &lt;a target='_blank'href=''&gt;Paris Basketball&lt;/a&gt;&lt;/b&gt; &lt;/i&gt;&lt;/li&gt;
  &lt;ul style='list-style-type:none'&gt;
    &lt;li&gt;Age: 18.9 &lt;/li&gt;
    &lt;li&gt;Height: 77 in &lt;/li&gt;
    &lt;li&gt;Weight: 192 lbs &lt;/li&gt;
  &lt;/ul&gt;
  &lt;br&gt;  &lt;li&gt;&lt;b&gt;&lt;a 
    target='_blank' href='https://www.nba.com/draft/2021/prospects/daishen-nix'&gt;Daishen Nix&lt;/a&gt;&lt;/b&gt;
    - &lt;i&gt;
    &lt;a target='_blank' href='https://www.nbadraft.net/players/daishen-nix'&gt;PG &lt;/a&gt;&lt;/b&gt;
    - 
    &lt;a target='_blank'href='https://www.basketball-reference.com/gleague/players/n/nixda01d.html'&gt;G League Ignite&lt;/a&gt;&lt;/b&gt; &lt;/i&gt;&lt;/li&gt;
  &lt;ul style='list-style-type:none'&gt;
    &lt;li&gt;Age: 19.3 &lt;/li&gt;
    &lt;li&gt;Height: 76.25 in &lt;/li&gt;
    &lt;li&gt;Weight: 225.6 lbs &lt;/li&gt;
    &lt;li&gt;Wingspan: 78.75 in &lt;/li&gt;
    &lt;li&gt;Reach: 100 in &lt;/li&gt;
    &lt;li&gt;Ape: +2.5 &lt;/li&gt;
  &lt;/ul&gt;
  &lt;br&gt;  &lt;li&gt;&lt;b&gt;&lt;a 
    target='_blank' href='https://www.nba.com/draft/2021/prospects/dayron-sharpe'&gt;Day'Ron Sharpe&lt;/a&gt;&lt;/b&gt;
    - &lt;i&gt;
    &lt;a target='_blank' href='https://www.nbadraft.net/players/day'ron-sharpe'&gt;C &lt;/a&gt;&lt;/b&gt;
    - 
    &lt;a target='_blank'href='https://www.sports-reference.com/cbb/players/dayron-sharpe-1.html'&gt;North Carolina&lt;/a&gt;&lt;/b&gt; &lt;/i&gt;&lt;/li&gt;
  &lt;ul style='list-style-type:none'&gt;
    &lt;li&gt;Grade: Freshman &lt;/li&gt;
    &lt;li&gt;Age: 19.6 &lt;/li&gt;
    &lt;li&gt;Height: 83 in &lt;/li&gt;
    &lt;li&gt;Weight: 265 lbs &lt;/li&gt;
  &lt;/ul&gt;
  &lt;br&gt;  &lt;li&gt;&lt;b&gt;&lt;a 
    target='_blank' href='https://www.nba.com/draft/2021/prospects/dj-steward'&gt;DJ Steward&lt;/a&gt;&lt;/b&gt;
    - &lt;i&gt;
    &lt;a target='_blank' href='https://www.nbadraft.net/players/dj-steward'&gt;PG &lt;/a&gt;&lt;/b&gt;
    - 
    &lt;a target='_blank'href='https://www.sports-reference.com/cbb/players/dj-steward-1.html'&gt;Duke&lt;/a&gt;&lt;/b&gt; &lt;/i&gt;&lt;/li&gt;
  &lt;ul style='list-style-type:none'&gt;
    &lt;li&gt;Grade: Freshman &lt;/li&gt;
    &lt;li&gt;Age: 19.7 &lt;/li&gt;
    &lt;li&gt;Height: 73.75 in &lt;/li&gt;
    &lt;li&gt;Weight: 162.2 lbs &lt;/li&gt;
    &lt;li&gt;Wingspan: 79 in &lt;/li&gt;
    &lt;li&gt;Reach: 98.5 in &lt;/li&gt;
    &lt;li&gt;Ape: +5.25 &lt;/li&gt;
  &lt;/ul&gt;
  &lt;br&gt;  &lt;li&gt;&lt;b&gt;&lt;a 
    target='_blank' href='https://www.nba.com/draft/2021/prospects/greg-brown'&gt;Greg Brown III&lt;/a&gt;&lt;/b&gt;
    - &lt;i&gt;
    &lt;a target='_blank' href='https://www.nbadraft.net/players/greg-brown'&gt;F &lt;/a&gt;&lt;/b&gt;
    - 
    &lt;a target='_blank'href='https://www.sports-reference.com/cbb/players/greg-brown-9.html'&gt;Texas&lt;/a&gt;&lt;/b&gt; &lt;/i&gt;&lt;/li&gt;
  &lt;ul style='list-style-type:none'&gt;
    &lt;li&gt;Grade: Freshman &lt;/li&gt;
    &lt;li&gt;Age: 19</v>
      </c>
    </row>
  </sheetData>
  <autoFilter ref="A2:AN80" xr:uid="{00000000-0009-0000-0000-000000000000}">
    <sortState ref="A3:AN80">
      <sortCondition descending="1" ref="Q2:Q80"/>
    </sortState>
  </autoFilter>
  <sortState ref="A3:AO80">
    <sortCondition descending="1" ref="Q3:Q80"/>
    <sortCondition ref="R3:R80"/>
    <sortCondition ref="AA3:AA80"/>
  </sortState>
  <phoneticPr fontId="2" type="noConversion"/>
  <pageMargins left="0.7" right="0.7" top="0.75" bottom="0.75" header="0.3" footer="0.3"/>
  <ignoredErrors>
    <ignoredError sqref="G2" formula="1"/>
  </ignoredErrors>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1"/>
  <sheetViews>
    <sheetView workbookViewId="0">
      <pane xSplit="2" ySplit="1" topLeftCell="C62" activePane="bottomRight" state="frozen"/>
      <selection pane="topRight" activeCell="C1" sqref="C1"/>
      <selection pane="bottomLeft" activeCell="A2" sqref="A2"/>
      <selection pane="bottomRight" activeCell="A76" sqref="A76"/>
    </sheetView>
  </sheetViews>
  <sheetFormatPr baseColWidth="10" defaultRowHeight="16" x14ac:dyDescent="0.2"/>
  <cols>
    <col min="1" max="1" width="22.33203125" bestFit="1" customWidth="1"/>
    <col min="2" max="2" width="7" customWidth="1"/>
    <col min="3" max="3" width="14" customWidth="1"/>
    <col min="4" max="4" width="23.6640625" customWidth="1"/>
    <col min="5" max="5" width="22.6640625" customWidth="1"/>
    <col min="6" max="6" width="20.5" customWidth="1"/>
    <col min="7" max="7" width="19.1640625" style="5" bestFit="1" customWidth="1"/>
    <col min="8" max="8" width="18.5" customWidth="1"/>
    <col min="9" max="9" width="15.33203125" bestFit="1" customWidth="1"/>
    <col min="10" max="10" width="13.1640625" style="5" bestFit="1" customWidth="1"/>
  </cols>
  <sheetData>
    <row r="1" spans="1:10" x14ac:dyDescent="0.2">
      <c r="A1" t="s">
        <v>35</v>
      </c>
      <c r="B1" t="s">
        <v>22</v>
      </c>
      <c r="C1" t="s">
        <v>23</v>
      </c>
      <c r="D1" t="s">
        <v>24</v>
      </c>
      <c r="E1" t="s">
        <v>25</v>
      </c>
      <c r="F1" t="s">
        <v>26</v>
      </c>
      <c r="G1" s="5" t="s">
        <v>27</v>
      </c>
      <c r="H1" t="s">
        <v>28</v>
      </c>
      <c r="I1" t="s">
        <v>29</v>
      </c>
      <c r="J1" s="5" t="s">
        <v>30</v>
      </c>
    </row>
    <row r="2" spans="1:10" x14ac:dyDescent="0.2">
      <c r="A2" t="s">
        <v>51</v>
      </c>
      <c r="B2" t="s">
        <v>13</v>
      </c>
      <c r="C2" s="1">
        <v>0.17299999999999999</v>
      </c>
      <c r="D2">
        <v>9.25</v>
      </c>
      <c r="E2">
        <v>9</v>
      </c>
      <c r="F2" t="s">
        <v>52</v>
      </c>
      <c r="G2" t="s">
        <v>53</v>
      </c>
      <c r="H2" t="s">
        <v>54</v>
      </c>
      <c r="I2">
        <v>268.60000000000002</v>
      </c>
      <c r="J2" t="s">
        <v>55</v>
      </c>
    </row>
    <row r="3" spans="1:10" x14ac:dyDescent="0.2">
      <c r="A3" t="s">
        <v>56</v>
      </c>
      <c r="B3" t="s">
        <v>13</v>
      </c>
      <c r="C3" s="1">
        <v>0.152</v>
      </c>
      <c r="D3">
        <v>9</v>
      </c>
      <c r="E3">
        <v>9</v>
      </c>
      <c r="F3" t="s">
        <v>57</v>
      </c>
      <c r="G3" t="s">
        <v>58</v>
      </c>
      <c r="H3" t="s">
        <v>59</v>
      </c>
      <c r="I3">
        <v>232.4</v>
      </c>
      <c r="J3" t="s">
        <v>58</v>
      </c>
    </row>
    <row r="4" spans="1:10" x14ac:dyDescent="0.2">
      <c r="A4" t="s">
        <v>60</v>
      </c>
      <c r="B4" t="s">
        <v>12</v>
      </c>
      <c r="C4" s="1">
        <v>0.14499999999999999</v>
      </c>
      <c r="D4">
        <v>8.75</v>
      </c>
      <c r="E4">
        <v>9.5</v>
      </c>
      <c r="F4" t="s">
        <v>61</v>
      </c>
      <c r="G4" t="s">
        <v>62</v>
      </c>
      <c r="H4" t="s">
        <v>63</v>
      </c>
      <c r="I4">
        <v>232.2</v>
      </c>
      <c r="J4" t="s">
        <v>64</v>
      </c>
    </row>
    <row r="5" spans="1:10" x14ac:dyDescent="0.2">
      <c r="A5" t="s">
        <v>65</v>
      </c>
      <c r="B5" t="s">
        <v>13</v>
      </c>
      <c r="C5" s="1">
        <v>0.129</v>
      </c>
      <c r="D5">
        <v>9</v>
      </c>
      <c r="E5">
        <v>10</v>
      </c>
      <c r="F5" t="s">
        <v>66</v>
      </c>
      <c r="G5" t="s">
        <v>67</v>
      </c>
      <c r="H5" t="s">
        <v>68</v>
      </c>
      <c r="I5">
        <v>238</v>
      </c>
      <c r="J5" t="s">
        <v>69</v>
      </c>
    </row>
    <row r="6" spans="1:10" x14ac:dyDescent="0.2">
      <c r="A6" t="s">
        <v>70</v>
      </c>
      <c r="B6" t="s">
        <v>15</v>
      </c>
      <c r="C6" s="1">
        <v>0.11799999999999999</v>
      </c>
      <c r="D6">
        <v>8.5</v>
      </c>
      <c r="E6">
        <v>9</v>
      </c>
      <c r="F6" t="s">
        <v>71</v>
      </c>
      <c r="G6" t="s">
        <v>72</v>
      </c>
      <c r="H6" t="s">
        <v>73</v>
      </c>
      <c r="I6">
        <v>225.6</v>
      </c>
      <c r="J6" t="s">
        <v>74</v>
      </c>
    </row>
    <row r="7" spans="1:10" x14ac:dyDescent="0.2">
      <c r="A7" t="s">
        <v>75</v>
      </c>
      <c r="B7" t="s">
        <v>12</v>
      </c>
      <c r="C7" s="1">
        <v>0.11700000000000001</v>
      </c>
      <c r="D7">
        <v>9</v>
      </c>
      <c r="E7">
        <v>9.25</v>
      </c>
      <c r="F7" t="s">
        <v>76</v>
      </c>
      <c r="G7" t="s">
        <v>62</v>
      </c>
      <c r="H7" t="s">
        <v>68</v>
      </c>
      <c r="I7">
        <v>242.8</v>
      </c>
      <c r="J7" t="s">
        <v>77</v>
      </c>
    </row>
    <row r="8" spans="1:10" x14ac:dyDescent="0.2">
      <c r="A8" t="s">
        <v>78</v>
      </c>
      <c r="B8" t="s">
        <v>16</v>
      </c>
      <c r="C8" s="1">
        <v>0.11</v>
      </c>
      <c r="D8">
        <v>8</v>
      </c>
      <c r="E8">
        <v>8.25</v>
      </c>
      <c r="F8" t="s">
        <v>79</v>
      </c>
      <c r="G8" t="s">
        <v>80</v>
      </c>
      <c r="H8" t="s">
        <v>81</v>
      </c>
      <c r="I8">
        <v>197.2</v>
      </c>
      <c r="J8" t="s">
        <v>82</v>
      </c>
    </row>
    <row r="9" spans="1:10" x14ac:dyDescent="0.2">
      <c r="A9" t="s">
        <v>83</v>
      </c>
      <c r="B9" t="s">
        <v>13</v>
      </c>
      <c r="C9" s="1">
        <v>0.10100000000000001</v>
      </c>
      <c r="D9">
        <v>9.5</v>
      </c>
      <c r="E9">
        <v>9.5</v>
      </c>
      <c r="F9" t="s">
        <v>84</v>
      </c>
      <c r="G9" t="s">
        <v>85</v>
      </c>
      <c r="H9" t="s">
        <v>54</v>
      </c>
      <c r="I9">
        <v>237.4</v>
      </c>
      <c r="J9" t="s">
        <v>86</v>
      </c>
    </row>
    <row r="10" spans="1:10" x14ac:dyDescent="0.2">
      <c r="A10" t="s">
        <v>87</v>
      </c>
      <c r="B10" t="s">
        <v>14</v>
      </c>
      <c r="C10" s="1">
        <v>9.4E-2</v>
      </c>
      <c r="D10">
        <v>9</v>
      </c>
      <c r="E10">
        <v>9.5</v>
      </c>
      <c r="F10" t="s">
        <v>80</v>
      </c>
      <c r="G10" t="s">
        <v>88</v>
      </c>
      <c r="H10" t="s">
        <v>89</v>
      </c>
      <c r="I10">
        <v>231.8</v>
      </c>
      <c r="J10" t="s">
        <v>90</v>
      </c>
    </row>
    <row r="11" spans="1:10" x14ac:dyDescent="0.2">
      <c r="A11" t="s">
        <v>91</v>
      </c>
      <c r="B11" t="s">
        <v>13</v>
      </c>
      <c r="C11" s="1">
        <v>8.8999999999999996E-2</v>
      </c>
      <c r="D11">
        <v>9</v>
      </c>
      <c r="E11">
        <v>9.75</v>
      </c>
      <c r="F11" t="s">
        <v>53</v>
      </c>
      <c r="G11" t="s">
        <v>92</v>
      </c>
      <c r="H11" t="s">
        <v>93</v>
      </c>
      <c r="I11">
        <v>242.4</v>
      </c>
      <c r="J11" t="s">
        <v>67</v>
      </c>
    </row>
    <row r="12" spans="1:10" x14ac:dyDescent="0.2">
      <c r="A12" t="s">
        <v>94</v>
      </c>
      <c r="B12" t="s">
        <v>12</v>
      </c>
      <c r="C12" s="1">
        <v>8.1000000000000003E-2</v>
      </c>
      <c r="D12">
        <v>9.5</v>
      </c>
      <c r="E12">
        <v>9.5</v>
      </c>
      <c r="F12" t="s">
        <v>55</v>
      </c>
      <c r="G12" t="s">
        <v>95</v>
      </c>
      <c r="H12" t="s">
        <v>96</v>
      </c>
      <c r="I12">
        <v>246</v>
      </c>
      <c r="J12" t="s">
        <v>97</v>
      </c>
    </row>
    <row r="13" spans="1:10" x14ac:dyDescent="0.2">
      <c r="A13" t="s">
        <v>98</v>
      </c>
      <c r="B13" t="s">
        <v>14</v>
      </c>
      <c r="C13" s="1">
        <v>8.1000000000000003E-2</v>
      </c>
      <c r="D13">
        <v>8.5</v>
      </c>
      <c r="E13">
        <v>9</v>
      </c>
      <c r="F13" t="s">
        <v>84</v>
      </c>
      <c r="G13" t="s">
        <v>90</v>
      </c>
      <c r="H13" t="s">
        <v>93</v>
      </c>
      <c r="I13">
        <v>206</v>
      </c>
      <c r="J13" t="s">
        <v>95</v>
      </c>
    </row>
    <row r="14" spans="1:10" x14ac:dyDescent="0.2">
      <c r="A14" t="s">
        <v>99</v>
      </c>
      <c r="B14" t="s">
        <v>16</v>
      </c>
      <c r="C14" s="1">
        <v>0.08</v>
      </c>
      <c r="D14">
        <v>8.5</v>
      </c>
      <c r="E14">
        <v>9.5</v>
      </c>
      <c r="F14" t="s">
        <v>100</v>
      </c>
      <c r="G14" t="s">
        <v>101</v>
      </c>
      <c r="H14" t="s">
        <v>102</v>
      </c>
      <c r="I14">
        <v>209</v>
      </c>
      <c r="J14" t="s">
        <v>103</v>
      </c>
    </row>
    <row r="15" spans="1:10" x14ac:dyDescent="0.2">
      <c r="A15" t="s">
        <v>104</v>
      </c>
      <c r="B15" t="s">
        <v>14</v>
      </c>
      <c r="C15" s="1">
        <v>0.08</v>
      </c>
      <c r="D15">
        <v>9</v>
      </c>
      <c r="E15">
        <v>8.5</v>
      </c>
      <c r="F15" t="s">
        <v>52</v>
      </c>
      <c r="G15" t="s">
        <v>84</v>
      </c>
      <c r="H15" t="s">
        <v>59</v>
      </c>
      <c r="I15">
        <v>217.4</v>
      </c>
      <c r="J15" t="s">
        <v>76</v>
      </c>
    </row>
    <row r="16" spans="1:10" x14ac:dyDescent="0.2">
      <c r="A16" t="s">
        <v>105</v>
      </c>
      <c r="B16" t="s">
        <v>14</v>
      </c>
      <c r="C16" s="1">
        <v>7.9000000000000001E-2</v>
      </c>
      <c r="D16">
        <v>8.25</v>
      </c>
      <c r="E16">
        <v>9</v>
      </c>
      <c r="F16" t="s">
        <v>74</v>
      </c>
      <c r="G16" t="s">
        <v>66</v>
      </c>
      <c r="H16" t="s">
        <v>106</v>
      </c>
      <c r="I16">
        <v>217.4</v>
      </c>
      <c r="J16" t="s">
        <v>90</v>
      </c>
    </row>
    <row r="17" spans="1:10" x14ac:dyDescent="0.2">
      <c r="A17" t="s">
        <v>107</v>
      </c>
      <c r="B17" t="s">
        <v>12</v>
      </c>
      <c r="C17" s="1">
        <v>7.8E-2</v>
      </c>
      <c r="D17">
        <v>9</v>
      </c>
      <c r="E17">
        <v>9.5</v>
      </c>
      <c r="F17" t="s">
        <v>92</v>
      </c>
      <c r="G17" t="s">
        <v>76</v>
      </c>
      <c r="H17" t="s">
        <v>59</v>
      </c>
      <c r="I17">
        <v>239.8</v>
      </c>
      <c r="J17" t="s">
        <v>108</v>
      </c>
    </row>
    <row r="18" spans="1:10" x14ac:dyDescent="0.2">
      <c r="A18" t="s">
        <v>109</v>
      </c>
      <c r="B18" t="s">
        <v>12</v>
      </c>
      <c r="C18" s="1">
        <v>7.5999999999999998E-2</v>
      </c>
      <c r="D18">
        <v>9.25</v>
      </c>
      <c r="E18">
        <v>10.5</v>
      </c>
      <c r="F18" t="s">
        <v>62</v>
      </c>
      <c r="G18" t="s">
        <v>110</v>
      </c>
      <c r="H18" t="s">
        <v>111</v>
      </c>
      <c r="I18">
        <v>248.4</v>
      </c>
      <c r="J18" t="s">
        <v>112</v>
      </c>
    </row>
    <row r="19" spans="1:10" x14ac:dyDescent="0.2">
      <c r="A19" t="s">
        <v>113</v>
      </c>
      <c r="B19" t="s">
        <v>14</v>
      </c>
      <c r="C19" s="1">
        <v>7.4999999999999997E-2</v>
      </c>
      <c r="D19">
        <v>8.75</v>
      </c>
      <c r="E19">
        <v>8.5</v>
      </c>
      <c r="F19" t="s">
        <v>114</v>
      </c>
      <c r="G19" t="s">
        <v>53</v>
      </c>
      <c r="H19" t="s">
        <v>115</v>
      </c>
      <c r="I19">
        <v>216.8</v>
      </c>
      <c r="J19" t="s">
        <v>116</v>
      </c>
    </row>
    <row r="20" spans="1:10" x14ac:dyDescent="0.2">
      <c r="A20" t="s">
        <v>117</v>
      </c>
      <c r="B20" t="s">
        <v>16</v>
      </c>
      <c r="C20" s="1">
        <v>7.4999999999999997E-2</v>
      </c>
      <c r="D20">
        <v>8.25</v>
      </c>
      <c r="E20">
        <v>8.5</v>
      </c>
      <c r="F20" t="s">
        <v>118</v>
      </c>
      <c r="G20" t="s">
        <v>119</v>
      </c>
      <c r="H20" t="s">
        <v>120</v>
      </c>
      <c r="I20">
        <v>202.8</v>
      </c>
      <c r="J20" t="s">
        <v>103</v>
      </c>
    </row>
    <row r="21" spans="1:10" x14ac:dyDescent="0.2">
      <c r="A21" t="s">
        <v>121</v>
      </c>
      <c r="B21" t="s">
        <v>15</v>
      </c>
      <c r="C21" s="1">
        <v>7.1999999999999995E-2</v>
      </c>
      <c r="D21">
        <v>8</v>
      </c>
      <c r="E21">
        <v>9.5</v>
      </c>
      <c r="F21" t="s">
        <v>122</v>
      </c>
      <c r="G21" t="s">
        <v>123</v>
      </c>
      <c r="H21" t="s">
        <v>124</v>
      </c>
      <c r="I21">
        <v>180.8</v>
      </c>
      <c r="J21" t="s">
        <v>125</v>
      </c>
    </row>
    <row r="22" spans="1:10" x14ac:dyDescent="0.2">
      <c r="A22" t="s">
        <v>126</v>
      </c>
      <c r="B22" t="s">
        <v>13</v>
      </c>
      <c r="C22" s="1">
        <v>7.0000000000000007E-2</v>
      </c>
      <c r="D22">
        <v>8.75</v>
      </c>
      <c r="E22">
        <v>9.25</v>
      </c>
      <c r="F22" t="s">
        <v>84</v>
      </c>
      <c r="G22" t="s">
        <v>90</v>
      </c>
      <c r="H22" t="s">
        <v>127</v>
      </c>
      <c r="I22">
        <v>225.4</v>
      </c>
      <c r="J22" t="s">
        <v>116</v>
      </c>
    </row>
    <row r="23" spans="1:10" x14ac:dyDescent="0.2">
      <c r="A23" t="s">
        <v>128</v>
      </c>
      <c r="B23" t="s">
        <v>16</v>
      </c>
      <c r="C23" s="1">
        <v>6.8000000000000005E-2</v>
      </c>
      <c r="D23">
        <v>9</v>
      </c>
      <c r="E23">
        <v>10</v>
      </c>
      <c r="F23" t="s">
        <v>79</v>
      </c>
      <c r="G23" t="s">
        <v>114</v>
      </c>
      <c r="H23" t="s">
        <v>54</v>
      </c>
      <c r="I23">
        <v>210.6</v>
      </c>
      <c r="J23" t="s">
        <v>129</v>
      </c>
    </row>
    <row r="24" spans="1:10" x14ac:dyDescent="0.2">
      <c r="A24" t="s">
        <v>130</v>
      </c>
      <c r="B24" t="s">
        <v>14</v>
      </c>
      <c r="C24" s="1">
        <v>6.8000000000000005E-2</v>
      </c>
      <c r="D24">
        <v>8.75</v>
      </c>
      <c r="E24">
        <v>10</v>
      </c>
      <c r="F24" t="s">
        <v>114</v>
      </c>
      <c r="G24" t="s">
        <v>88</v>
      </c>
      <c r="H24" t="s">
        <v>106</v>
      </c>
      <c r="I24">
        <v>223.8</v>
      </c>
      <c r="J24" t="s">
        <v>101</v>
      </c>
    </row>
    <row r="25" spans="1:10" x14ac:dyDescent="0.2">
      <c r="A25" t="s">
        <v>131</v>
      </c>
      <c r="B25" t="s">
        <v>14</v>
      </c>
      <c r="C25" s="1">
        <v>6.7000000000000004E-2</v>
      </c>
      <c r="D25">
        <v>8</v>
      </c>
      <c r="E25">
        <v>8</v>
      </c>
      <c r="F25" t="s">
        <v>100</v>
      </c>
      <c r="G25" t="s">
        <v>52</v>
      </c>
      <c r="H25" t="s">
        <v>73</v>
      </c>
      <c r="I25">
        <v>206.6</v>
      </c>
      <c r="J25" t="s">
        <v>132</v>
      </c>
    </row>
    <row r="26" spans="1:10" x14ac:dyDescent="0.2">
      <c r="A26" t="s">
        <v>133</v>
      </c>
      <c r="B26" t="s">
        <v>15</v>
      </c>
      <c r="C26" s="1">
        <v>6.7000000000000004E-2</v>
      </c>
      <c r="D26">
        <v>8.5</v>
      </c>
      <c r="E26">
        <v>9</v>
      </c>
      <c r="F26" t="s">
        <v>134</v>
      </c>
      <c r="G26" t="s">
        <v>135</v>
      </c>
      <c r="H26" t="s">
        <v>136</v>
      </c>
      <c r="I26">
        <v>192.2</v>
      </c>
      <c r="J26" t="s">
        <v>137</v>
      </c>
    </row>
    <row r="27" spans="1:10" x14ac:dyDescent="0.2">
      <c r="A27" t="s">
        <v>138</v>
      </c>
      <c r="B27" t="s">
        <v>16</v>
      </c>
      <c r="C27" s="1">
        <v>6.6000000000000003E-2</v>
      </c>
      <c r="D27">
        <v>8.5</v>
      </c>
      <c r="E27">
        <v>10</v>
      </c>
      <c r="F27" t="s">
        <v>139</v>
      </c>
      <c r="G27" t="s">
        <v>137</v>
      </c>
      <c r="H27" t="s">
        <v>81</v>
      </c>
      <c r="I27">
        <v>205</v>
      </c>
      <c r="J27" t="s">
        <v>66</v>
      </c>
    </row>
    <row r="28" spans="1:10" x14ac:dyDescent="0.2">
      <c r="A28" t="s">
        <v>140</v>
      </c>
      <c r="B28" t="s">
        <v>13</v>
      </c>
      <c r="C28" s="1">
        <v>6.3E-2</v>
      </c>
      <c r="D28">
        <v>8.75</v>
      </c>
      <c r="E28">
        <v>8.5</v>
      </c>
      <c r="F28" t="s">
        <v>80</v>
      </c>
      <c r="G28" t="s">
        <v>74</v>
      </c>
      <c r="H28" t="s">
        <v>120</v>
      </c>
      <c r="I28">
        <v>206.4</v>
      </c>
      <c r="J28" t="s">
        <v>58</v>
      </c>
    </row>
    <row r="29" spans="1:10" x14ac:dyDescent="0.2">
      <c r="A29" t="s">
        <v>141</v>
      </c>
      <c r="B29" t="s">
        <v>16</v>
      </c>
      <c r="C29" s="1">
        <v>6.3E-2</v>
      </c>
      <c r="D29">
        <v>9</v>
      </c>
      <c r="E29">
        <v>10</v>
      </c>
      <c r="F29" t="s">
        <v>139</v>
      </c>
      <c r="G29" t="s">
        <v>142</v>
      </c>
      <c r="H29" t="s">
        <v>115</v>
      </c>
      <c r="I29">
        <v>189</v>
      </c>
      <c r="J29" t="s">
        <v>90</v>
      </c>
    </row>
    <row r="30" spans="1:10" x14ac:dyDescent="0.2">
      <c r="A30" t="s">
        <v>143</v>
      </c>
      <c r="B30" t="s">
        <v>16</v>
      </c>
      <c r="C30" s="1">
        <v>6.3E-2</v>
      </c>
      <c r="D30">
        <v>8.5</v>
      </c>
      <c r="E30">
        <v>9.75</v>
      </c>
      <c r="F30" t="s">
        <v>71</v>
      </c>
      <c r="G30" t="s">
        <v>72</v>
      </c>
      <c r="H30" t="s">
        <v>144</v>
      </c>
      <c r="I30">
        <v>202</v>
      </c>
      <c r="J30" t="s">
        <v>53</v>
      </c>
    </row>
    <row r="31" spans="1:10" x14ac:dyDescent="0.2">
      <c r="A31" t="s">
        <v>145</v>
      </c>
      <c r="B31" t="s">
        <v>13</v>
      </c>
      <c r="C31" s="1">
        <v>6.2E-2</v>
      </c>
      <c r="D31">
        <v>9</v>
      </c>
      <c r="E31">
        <v>9.75</v>
      </c>
      <c r="F31" t="s">
        <v>85</v>
      </c>
      <c r="G31" t="s">
        <v>76</v>
      </c>
      <c r="H31" t="s">
        <v>68</v>
      </c>
      <c r="I31">
        <v>219</v>
      </c>
      <c r="J31" t="s">
        <v>108</v>
      </c>
    </row>
    <row r="32" spans="1:10" x14ac:dyDescent="0.2">
      <c r="A32" t="s">
        <v>146</v>
      </c>
      <c r="B32" t="s">
        <v>15</v>
      </c>
      <c r="C32" s="1">
        <v>6.2E-2</v>
      </c>
      <c r="D32">
        <v>8.25</v>
      </c>
      <c r="E32">
        <v>8.75</v>
      </c>
      <c r="F32" t="s">
        <v>147</v>
      </c>
      <c r="G32" t="s">
        <v>148</v>
      </c>
      <c r="H32" t="s">
        <v>149</v>
      </c>
      <c r="I32">
        <v>202.4</v>
      </c>
      <c r="J32" t="s">
        <v>72</v>
      </c>
    </row>
    <row r="33" spans="1:10" x14ac:dyDescent="0.2">
      <c r="A33" t="s">
        <v>150</v>
      </c>
      <c r="B33" t="s">
        <v>13</v>
      </c>
      <c r="C33" s="1">
        <v>6.0999999999999999E-2</v>
      </c>
      <c r="D33">
        <v>9.25</v>
      </c>
      <c r="E33">
        <v>9.5</v>
      </c>
      <c r="F33" t="s">
        <v>57</v>
      </c>
      <c r="G33" t="s">
        <v>90</v>
      </c>
      <c r="H33" t="s">
        <v>151</v>
      </c>
      <c r="I33">
        <v>203</v>
      </c>
      <c r="J33" t="s">
        <v>152</v>
      </c>
    </row>
    <row r="34" spans="1:10" x14ac:dyDescent="0.2">
      <c r="A34" t="s">
        <v>153</v>
      </c>
      <c r="B34" t="s">
        <v>14</v>
      </c>
      <c r="C34" s="1">
        <v>0.06</v>
      </c>
      <c r="D34">
        <v>9</v>
      </c>
      <c r="E34">
        <v>9.75</v>
      </c>
      <c r="F34" t="s">
        <v>80</v>
      </c>
      <c r="G34" t="s">
        <v>101</v>
      </c>
      <c r="H34" t="s">
        <v>120</v>
      </c>
      <c r="I34">
        <v>188</v>
      </c>
      <c r="J34" t="s">
        <v>55</v>
      </c>
    </row>
    <row r="35" spans="1:10" x14ac:dyDescent="0.2">
      <c r="A35" t="s">
        <v>154</v>
      </c>
      <c r="B35" t="s">
        <v>15</v>
      </c>
      <c r="C35" s="1">
        <v>0.06</v>
      </c>
      <c r="D35">
        <v>9</v>
      </c>
      <c r="E35">
        <v>9.5</v>
      </c>
      <c r="F35" t="s">
        <v>155</v>
      </c>
      <c r="G35" t="s">
        <v>156</v>
      </c>
      <c r="H35" t="s">
        <v>157</v>
      </c>
      <c r="I35">
        <v>195.2</v>
      </c>
      <c r="J35" t="s">
        <v>85</v>
      </c>
    </row>
    <row r="36" spans="1:10" x14ac:dyDescent="0.2">
      <c r="A36" t="s">
        <v>158</v>
      </c>
      <c r="B36" t="s">
        <v>12</v>
      </c>
      <c r="C36" s="1">
        <v>5.8999999999999997E-2</v>
      </c>
      <c r="D36">
        <v>9</v>
      </c>
      <c r="E36">
        <v>9.5</v>
      </c>
      <c r="F36" t="s">
        <v>90</v>
      </c>
      <c r="G36" t="s">
        <v>61</v>
      </c>
      <c r="H36" t="s">
        <v>68</v>
      </c>
      <c r="I36">
        <v>230.2</v>
      </c>
      <c r="J36" t="s">
        <v>69</v>
      </c>
    </row>
    <row r="37" spans="1:10" x14ac:dyDescent="0.2">
      <c r="A37" t="s">
        <v>159</v>
      </c>
      <c r="B37" t="s">
        <v>16</v>
      </c>
      <c r="C37" s="1">
        <v>5.8999999999999997E-2</v>
      </c>
      <c r="D37">
        <v>8.5</v>
      </c>
      <c r="E37">
        <v>9</v>
      </c>
      <c r="F37" t="s">
        <v>72</v>
      </c>
      <c r="G37" t="s">
        <v>100</v>
      </c>
      <c r="H37" t="s">
        <v>115</v>
      </c>
      <c r="I37">
        <v>203.6</v>
      </c>
      <c r="J37" t="s">
        <v>85</v>
      </c>
    </row>
    <row r="38" spans="1:10" x14ac:dyDescent="0.2">
      <c r="A38" t="s">
        <v>160</v>
      </c>
      <c r="B38" t="s">
        <v>14</v>
      </c>
      <c r="C38" s="1">
        <v>5.8000000000000003E-2</v>
      </c>
      <c r="D38">
        <v>8.5</v>
      </c>
      <c r="E38">
        <v>9</v>
      </c>
      <c r="F38" t="s">
        <v>114</v>
      </c>
      <c r="G38" t="s">
        <v>88</v>
      </c>
      <c r="H38" t="s">
        <v>161</v>
      </c>
      <c r="I38">
        <v>206.4</v>
      </c>
      <c r="J38" t="s">
        <v>162</v>
      </c>
    </row>
    <row r="39" spans="1:10" x14ac:dyDescent="0.2">
      <c r="A39" t="s">
        <v>163</v>
      </c>
      <c r="B39" t="s">
        <v>16</v>
      </c>
      <c r="C39" s="1">
        <v>5.8000000000000003E-2</v>
      </c>
      <c r="D39">
        <v>8.75</v>
      </c>
      <c r="E39">
        <v>8.5</v>
      </c>
      <c r="F39" t="s">
        <v>118</v>
      </c>
      <c r="G39" t="s">
        <v>79</v>
      </c>
      <c r="H39" t="s">
        <v>81</v>
      </c>
      <c r="I39">
        <v>214.8</v>
      </c>
      <c r="J39" t="s">
        <v>90</v>
      </c>
    </row>
    <row r="40" spans="1:10" x14ac:dyDescent="0.2">
      <c r="A40" t="s">
        <v>164</v>
      </c>
      <c r="B40" t="s">
        <v>16</v>
      </c>
      <c r="C40" s="1">
        <v>5.8000000000000003E-2</v>
      </c>
      <c r="D40">
        <v>8.75</v>
      </c>
      <c r="E40">
        <v>9</v>
      </c>
      <c r="F40" t="s">
        <v>123</v>
      </c>
      <c r="G40" t="s">
        <v>165</v>
      </c>
      <c r="H40" t="s">
        <v>166</v>
      </c>
      <c r="I40">
        <v>169</v>
      </c>
      <c r="J40" t="s">
        <v>90</v>
      </c>
    </row>
    <row r="41" spans="1:10" x14ac:dyDescent="0.2">
      <c r="A41" t="s">
        <v>167</v>
      </c>
      <c r="B41" t="s">
        <v>13</v>
      </c>
      <c r="C41" s="1">
        <v>5.6000000000000001E-2</v>
      </c>
      <c r="D41">
        <v>9</v>
      </c>
      <c r="E41">
        <v>9.5</v>
      </c>
      <c r="F41" t="s">
        <v>53</v>
      </c>
      <c r="G41" t="s">
        <v>92</v>
      </c>
      <c r="H41" t="s">
        <v>127</v>
      </c>
      <c r="I41">
        <v>225.8</v>
      </c>
      <c r="J41" t="s">
        <v>129</v>
      </c>
    </row>
    <row r="42" spans="1:10" x14ac:dyDescent="0.2">
      <c r="A42" t="s">
        <v>168</v>
      </c>
      <c r="B42" t="s">
        <v>14</v>
      </c>
      <c r="C42" s="1">
        <v>5.6000000000000001E-2</v>
      </c>
      <c r="D42">
        <v>8.5</v>
      </c>
      <c r="E42">
        <v>9.25</v>
      </c>
      <c r="F42" t="s">
        <v>79</v>
      </c>
      <c r="G42" t="s">
        <v>114</v>
      </c>
      <c r="H42" t="s">
        <v>169</v>
      </c>
      <c r="I42">
        <v>209.6</v>
      </c>
      <c r="J42" t="s">
        <v>55</v>
      </c>
    </row>
    <row r="43" spans="1:10" x14ac:dyDescent="0.2">
      <c r="A43" t="s">
        <v>170</v>
      </c>
      <c r="B43" t="s">
        <v>16</v>
      </c>
      <c r="C43" s="1">
        <v>5.6000000000000001E-2</v>
      </c>
      <c r="D43">
        <v>8.5</v>
      </c>
      <c r="E43">
        <v>9</v>
      </c>
      <c r="F43" t="s">
        <v>79</v>
      </c>
      <c r="G43" t="s">
        <v>80</v>
      </c>
      <c r="H43" t="s">
        <v>169</v>
      </c>
      <c r="I43">
        <v>186.2</v>
      </c>
      <c r="J43" t="s">
        <v>58</v>
      </c>
    </row>
    <row r="44" spans="1:10" x14ac:dyDescent="0.2">
      <c r="A44" t="s">
        <v>171</v>
      </c>
      <c r="B44" t="s">
        <v>12</v>
      </c>
      <c r="C44" s="1">
        <v>5.5E-2</v>
      </c>
      <c r="D44">
        <v>9</v>
      </c>
      <c r="E44">
        <v>9.75</v>
      </c>
      <c r="F44" t="s">
        <v>92</v>
      </c>
      <c r="G44" t="s">
        <v>76</v>
      </c>
      <c r="H44" t="s">
        <v>161</v>
      </c>
      <c r="I44">
        <v>250.2</v>
      </c>
      <c r="J44" t="s">
        <v>152</v>
      </c>
    </row>
    <row r="45" spans="1:10" x14ac:dyDescent="0.2">
      <c r="A45" t="s">
        <v>172</v>
      </c>
      <c r="B45" t="s">
        <v>13</v>
      </c>
      <c r="C45" s="1">
        <v>5.5E-2</v>
      </c>
      <c r="D45">
        <v>9</v>
      </c>
      <c r="E45">
        <v>9.75</v>
      </c>
      <c r="F45" t="s">
        <v>88</v>
      </c>
      <c r="G45" t="s">
        <v>57</v>
      </c>
      <c r="H45" t="s">
        <v>127</v>
      </c>
      <c r="I45">
        <v>206.4</v>
      </c>
      <c r="J45" t="s">
        <v>162</v>
      </c>
    </row>
    <row r="46" spans="1:10" x14ac:dyDescent="0.2">
      <c r="A46" t="s">
        <v>173</v>
      </c>
      <c r="B46" t="s">
        <v>16</v>
      </c>
      <c r="C46" s="1">
        <v>5.5E-2</v>
      </c>
      <c r="D46">
        <v>8.75</v>
      </c>
      <c r="E46">
        <v>9</v>
      </c>
      <c r="F46" t="s">
        <v>165</v>
      </c>
      <c r="G46" t="s">
        <v>119</v>
      </c>
      <c r="H46" t="s">
        <v>166</v>
      </c>
      <c r="I46">
        <v>190</v>
      </c>
      <c r="J46" t="s">
        <v>132</v>
      </c>
    </row>
    <row r="47" spans="1:10" x14ac:dyDescent="0.2">
      <c r="A47" t="s">
        <v>174</v>
      </c>
      <c r="B47" t="s">
        <v>15</v>
      </c>
      <c r="C47" s="1">
        <v>5.5E-2</v>
      </c>
      <c r="D47">
        <v>8</v>
      </c>
      <c r="E47">
        <v>7.75</v>
      </c>
      <c r="F47" t="s">
        <v>175</v>
      </c>
      <c r="G47" t="s">
        <v>176</v>
      </c>
      <c r="H47" t="s">
        <v>136</v>
      </c>
      <c r="I47">
        <v>161.80000000000001</v>
      </c>
      <c r="J47" t="s">
        <v>177</v>
      </c>
    </row>
    <row r="48" spans="1:10" x14ac:dyDescent="0.2">
      <c r="A48" t="s">
        <v>178</v>
      </c>
      <c r="B48" t="s">
        <v>15</v>
      </c>
      <c r="C48" s="1">
        <v>5.45E-2</v>
      </c>
      <c r="D48">
        <v>8.5</v>
      </c>
      <c r="E48">
        <v>9.25</v>
      </c>
      <c r="F48" t="s">
        <v>71</v>
      </c>
      <c r="G48" t="s">
        <v>139</v>
      </c>
      <c r="H48" t="s">
        <v>102</v>
      </c>
      <c r="I48">
        <v>180.6</v>
      </c>
      <c r="J48" t="s">
        <v>57</v>
      </c>
    </row>
    <row r="49" spans="1:10" x14ac:dyDescent="0.2">
      <c r="A49" t="s">
        <v>179</v>
      </c>
      <c r="B49" t="s">
        <v>14</v>
      </c>
      <c r="C49" s="1">
        <v>5.2999999999999999E-2</v>
      </c>
      <c r="D49">
        <v>9.25</v>
      </c>
      <c r="E49">
        <v>10.25</v>
      </c>
      <c r="F49" t="s">
        <v>101</v>
      </c>
      <c r="G49" t="s">
        <v>66</v>
      </c>
      <c r="H49" t="s">
        <v>180</v>
      </c>
      <c r="I49">
        <v>225.4</v>
      </c>
      <c r="J49" t="s">
        <v>181</v>
      </c>
    </row>
    <row r="50" spans="1:10" x14ac:dyDescent="0.2">
      <c r="A50" t="s">
        <v>182</v>
      </c>
      <c r="B50" t="s">
        <v>16</v>
      </c>
      <c r="C50" s="1">
        <v>5.0999999999999997E-2</v>
      </c>
      <c r="D50">
        <v>8.25</v>
      </c>
      <c r="E50">
        <v>8.75</v>
      </c>
      <c r="F50" t="s">
        <v>183</v>
      </c>
      <c r="G50" t="s">
        <v>184</v>
      </c>
      <c r="H50" t="s">
        <v>81</v>
      </c>
      <c r="I50">
        <v>196.8</v>
      </c>
      <c r="J50" t="s">
        <v>53</v>
      </c>
    </row>
    <row r="51" spans="1:10" x14ac:dyDescent="0.2">
      <c r="A51" t="s">
        <v>185</v>
      </c>
      <c r="B51" t="s">
        <v>15</v>
      </c>
      <c r="C51" s="1">
        <v>5.0999999999999997E-2</v>
      </c>
      <c r="D51">
        <v>8.5</v>
      </c>
      <c r="E51">
        <v>8.25</v>
      </c>
      <c r="F51" t="s">
        <v>183</v>
      </c>
      <c r="G51" t="s">
        <v>184</v>
      </c>
      <c r="H51" t="s">
        <v>186</v>
      </c>
      <c r="I51">
        <v>193</v>
      </c>
      <c r="J51" t="s">
        <v>139</v>
      </c>
    </row>
    <row r="52" spans="1:10" x14ac:dyDescent="0.2">
      <c r="A52" t="s">
        <v>187</v>
      </c>
      <c r="B52" t="s">
        <v>188</v>
      </c>
      <c r="C52" s="1">
        <v>0.05</v>
      </c>
      <c r="D52">
        <v>8.75</v>
      </c>
      <c r="E52">
        <v>8.5</v>
      </c>
      <c r="F52" t="s">
        <v>79</v>
      </c>
      <c r="G52" t="s">
        <v>142</v>
      </c>
      <c r="H52" t="s">
        <v>189</v>
      </c>
      <c r="I52">
        <v>190</v>
      </c>
      <c r="J52" t="s">
        <v>67</v>
      </c>
    </row>
    <row r="53" spans="1:10" x14ac:dyDescent="0.2">
      <c r="A53" t="s">
        <v>190</v>
      </c>
      <c r="B53" t="s">
        <v>15</v>
      </c>
      <c r="C53" s="1">
        <v>0.05</v>
      </c>
      <c r="D53">
        <v>8.5</v>
      </c>
      <c r="E53">
        <v>9</v>
      </c>
      <c r="F53" t="s">
        <v>122</v>
      </c>
      <c r="G53" t="s">
        <v>177</v>
      </c>
      <c r="H53" t="s">
        <v>186</v>
      </c>
      <c r="I53">
        <v>162.19999999999999</v>
      </c>
      <c r="J53" t="s">
        <v>101</v>
      </c>
    </row>
    <row r="54" spans="1:10" x14ac:dyDescent="0.2">
      <c r="A54" t="s">
        <v>191</v>
      </c>
      <c r="B54" t="s">
        <v>16</v>
      </c>
      <c r="C54" s="1">
        <v>4.9000000000000002E-2</v>
      </c>
      <c r="D54">
        <v>8.5</v>
      </c>
      <c r="E54">
        <v>8.75</v>
      </c>
      <c r="F54" t="s">
        <v>165</v>
      </c>
      <c r="G54" t="s">
        <v>142</v>
      </c>
      <c r="H54" t="s">
        <v>106</v>
      </c>
      <c r="I54">
        <v>194.4</v>
      </c>
      <c r="J54" t="s">
        <v>61</v>
      </c>
    </row>
    <row r="55" spans="1:10" x14ac:dyDescent="0.2">
      <c r="A55" t="s">
        <v>192</v>
      </c>
      <c r="B55" t="s">
        <v>13</v>
      </c>
      <c r="C55" s="1">
        <v>4.7E-2</v>
      </c>
      <c r="D55">
        <v>9</v>
      </c>
      <c r="E55">
        <v>9.5</v>
      </c>
      <c r="F55" t="s">
        <v>76</v>
      </c>
      <c r="G55" t="s">
        <v>193</v>
      </c>
      <c r="H55" t="s">
        <v>194</v>
      </c>
      <c r="I55">
        <v>221.4</v>
      </c>
      <c r="J55" t="s">
        <v>64</v>
      </c>
    </row>
    <row r="56" spans="1:10" x14ac:dyDescent="0.2">
      <c r="A56" t="s">
        <v>195</v>
      </c>
      <c r="B56" t="s">
        <v>14</v>
      </c>
      <c r="C56" s="1">
        <v>4.7E-2</v>
      </c>
      <c r="D56">
        <v>8.75</v>
      </c>
      <c r="E56">
        <v>9.75</v>
      </c>
      <c r="F56" t="s">
        <v>139</v>
      </c>
      <c r="G56" t="s">
        <v>137</v>
      </c>
      <c r="H56" t="s">
        <v>166</v>
      </c>
      <c r="I56">
        <v>187.6</v>
      </c>
      <c r="J56" t="s">
        <v>95</v>
      </c>
    </row>
    <row r="57" spans="1:10" x14ac:dyDescent="0.2">
      <c r="A57" t="s">
        <v>196</v>
      </c>
      <c r="B57" t="s">
        <v>13</v>
      </c>
      <c r="C57" s="1">
        <v>4.4999999999999998E-2</v>
      </c>
      <c r="D57">
        <v>9.75</v>
      </c>
      <c r="E57">
        <v>10.5</v>
      </c>
      <c r="F57" t="s">
        <v>53</v>
      </c>
      <c r="G57" t="s">
        <v>90</v>
      </c>
      <c r="H57" t="s">
        <v>161</v>
      </c>
      <c r="I57">
        <v>209.6</v>
      </c>
      <c r="J57" t="s">
        <v>162</v>
      </c>
    </row>
    <row r="58" spans="1:10" x14ac:dyDescent="0.2">
      <c r="A58" t="s">
        <v>197</v>
      </c>
      <c r="B58" t="s">
        <v>15</v>
      </c>
      <c r="C58" s="1">
        <v>4.4999999999999998E-2</v>
      </c>
      <c r="D58">
        <v>8.25</v>
      </c>
      <c r="E58">
        <v>9</v>
      </c>
      <c r="F58" t="s">
        <v>147</v>
      </c>
      <c r="G58" t="s">
        <v>155</v>
      </c>
      <c r="H58" t="s">
        <v>198</v>
      </c>
      <c r="I58">
        <v>173.6</v>
      </c>
      <c r="J58" t="s">
        <v>142</v>
      </c>
    </row>
    <row r="59" spans="1:10" x14ac:dyDescent="0.2">
      <c r="A59" t="s">
        <v>199</v>
      </c>
      <c r="B59" t="s">
        <v>14</v>
      </c>
      <c r="C59" s="1">
        <v>4.3999999999999997E-2</v>
      </c>
      <c r="D59">
        <v>9</v>
      </c>
      <c r="E59">
        <v>8.75</v>
      </c>
      <c r="F59" t="s">
        <v>132</v>
      </c>
      <c r="G59" t="s">
        <v>67</v>
      </c>
      <c r="H59" t="s">
        <v>59</v>
      </c>
      <c r="I59">
        <v>188.4</v>
      </c>
      <c r="J59" t="s">
        <v>61</v>
      </c>
    </row>
    <row r="60" spans="1:10" x14ac:dyDescent="0.2">
      <c r="A60" t="s">
        <v>200</v>
      </c>
      <c r="B60" t="s">
        <v>16</v>
      </c>
      <c r="C60" s="1">
        <v>4.3999999999999997E-2</v>
      </c>
      <c r="D60">
        <v>8.5</v>
      </c>
      <c r="E60">
        <v>9</v>
      </c>
      <c r="F60" t="s">
        <v>165</v>
      </c>
      <c r="G60" t="s">
        <v>119</v>
      </c>
      <c r="H60" t="s">
        <v>201</v>
      </c>
      <c r="I60">
        <v>184.8</v>
      </c>
      <c r="J60" t="s">
        <v>88</v>
      </c>
    </row>
    <row r="61" spans="1:10" x14ac:dyDescent="0.2">
      <c r="A61" t="s">
        <v>202</v>
      </c>
      <c r="B61" t="s">
        <v>188</v>
      </c>
      <c r="C61" s="1">
        <v>4.3999999999999997E-2</v>
      </c>
      <c r="D61">
        <v>8.5</v>
      </c>
      <c r="E61">
        <v>9.25</v>
      </c>
      <c r="F61" t="s">
        <v>100</v>
      </c>
      <c r="G61" t="s">
        <v>74</v>
      </c>
      <c r="H61" t="s">
        <v>157</v>
      </c>
      <c r="I61">
        <v>179.2</v>
      </c>
      <c r="J61" t="s">
        <v>74</v>
      </c>
    </row>
    <row r="62" spans="1:10" x14ac:dyDescent="0.2">
      <c r="A62" t="s">
        <v>203</v>
      </c>
      <c r="B62" t="s">
        <v>13</v>
      </c>
      <c r="C62" s="1">
        <v>4.2999999999999997E-2</v>
      </c>
      <c r="D62">
        <v>8.5</v>
      </c>
      <c r="E62">
        <v>8.25</v>
      </c>
      <c r="F62" t="s">
        <v>101</v>
      </c>
      <c r="G62" t="s">
        <v>66</v>
      </c>
      <c r="H62" t="s">
        <v>161</v>
      </c>
      <c r="I62">
        <v>203</v>
      </c>
      <c r="J62" t="s">
        <v>62</v>
      </c>
    </row>
    <row r="63" spans="1:10" x14ac:dyDescent="0.2">
      <c r="A63" t="s">
        <v>204</v>
      </c>
      <c r="B63" t="s">
        <v>16</v>
      </c>
      <c r="C63" s="1">
        <v>4.1500000000000002E-2</v>
      </c>
      <c r="D63">
        <v>9</v>
      </c>
      <c r="E63">
        <v>8.75</v>
      </c>
      <c r="F63" t="s">
        <v>79</v>
      </c>
      <c r="G63" t="s">
        <v>100</v>
      </c>
      <c r="H63" t="s">
        <v>169</v>
      </c>
      <c r="I63">
        <v>214.4</v>
      </c>
      <c r="J63" t="s">
        <v>76</v>
      </c>
    </row>
    <row r="64" spans="1:10" x14ac:dyDescent="0.2">
      <c r="A64" t="s">
        <v>205</v>
      </c>
      <c r="B64" t="s">
        <v>14</v>
      </c>
      <c r="C64" s="1">
        <v>4.1000000000000002E-2</v>
      </c>
      <c r="D64">
        <v>8.5</v>
      </c>
      <c r="E64">
        <v>9.25</v>
      </c>
      <c r="F64" t="s">
        <v>80</v>
      </c>
      <c r="G64" t="s">
        <v>88</v>
      </c>
      <c r="H64" t="s">
        <v>189</v>
      </c>
      <c r="I64">
        <v>204.8</v>
      </c>
      <c r="J64" t="s">
        <v>116</v>
      </c>
    </row>
    <row r="65" spans="1:10" x14ac:dyDescent="0.2">
      <c r="A65" t="s">
        <v>206</v>
      </c>
      <c r="B65" t="s">
        <v>15</v>
      </c>
      <c r="C65" s="1">
        <v>4.1000000000000002E-2</v>
      </c>
      <c r="D65">
        <v>8</v>
      </c>
      <c r="E65">
        <v>9</v>
      </c>
      <c r="F65" t="s">
        <v>118</v>
      </c>
      <c r="G65" t="s">
        <v>72</v>
      </c>
      <c r="H65" t="s">
        <v>186</v>
      </c>
      <c r="I65">
        <v>177.6</v>
      </c>
      <c r="J65" t="s">
        <v>139</v>
      </c>
    </row>
    <row r="66" spans="1:10" x14ac:dyDescent="0.2">
      <c r="A66" t="s">
        <v>207</v>
      </c>
      <c r="B66" t="s">
        <v>13</v>
      </c>
      <c r="C66" s="1">
        <v>0.04</v>
      </c>
      <c r="D66">
        <v>9</v>
      </c>
      <c r="E66">
        <v>9.25</v>
      </c>
      <c r="F66" t="s">
        <v>100</v>
      </c>
      <c r="G66" t="s">
        <v>74</v>
      </c>
      <c r="H66" t="s">
        <v>120</v>
      </c>
      <c r="I66">
        <v>206.4</v>
      </c>
      <c r="J66" t="s">
        <v>129</v>
      </c>
    </row>
    <row r="67" spans="1:10" x14ac:dyDescent="0.2">
      <c r="A67" t="s">
        <v>208</v>
      </c>
      <c r="B67" t="s">
        <v>15</v>
      </c>
      <c r="C67" s="1"/>
      <c r="G67" s="5" t="s">
        <v>240</v>
      </c>
      <c r="I67">
        <v>180</v>
      </c>
    </row>
    <row r="68" spans="1:10" x14ac:dyDescent="0.2">
      <c r="A68" t="s">
        <v>209</v>
      </c>
      <c r="B68" t="s">
        <v>15</v>
      </c>
      <c r="C68" s="1"/>
      <c r="G68" s="5" t="s">
        <v>241</v>
      </c>
      <c r="I68">
        <v>220</v>
      </c>
    </row>
    <row r="69" spans="1:10" x14ac:dyDescent="0.2">
      <c r="A69" t="s">
        <v>210</v>
      </c>
      <c r="B69" t="s">
        <v>16</v>
      </c>
      <c r="C69" s="1"/>
      <c r="G69" s="5" t="s">
        <v>242</v>
      </c>
      <c r="I69">
        <v>178</v>
      </c>
    </row>
    <row r="70" spans="1:10" x14ac:dyDescent="0.2">
      <c r="A70" t="s">
        <v>211</v>
      </c>
      <c r="B70" t="s">
        <v>12</v>
      </c>
      <c r="C70" s="1"/>
      <c r="G70" s="5" t="s">
        <v>243</v>
      </c>
      <c r="I70">
        <v>205</v>
      </c>
    </row>
    <row r="71" spans="1:10" x14ac:dyDescent="0.2">
      <c r="A71" t="s">
        <v>212</v>
      </c>
      <c r="B71" t="s">
        <v>14</v>
      </c>
      <c r="C71" s="1"/>
      <c r="G71" s="5" t="s">
        <v>242</v>
      </c>
      <c r="I71">
        <v>210</v>
      </c>
    </row>
    <row r="72" spans="1:10" x14ac:dyDescent="0.2">
      <c r="A72" t="s">
        <v>213</v>
      </c>
      <c r="B72" t="s">
        <v>13</v>
      </c>
      <c r="C72" s="1"/>
    </row>
    <row r="73" spans="1:10" x14ac:dyDescent="0.2">
      <c r="A73" t="s">
        <v>214</v>
      </c>
      <c r="B73" t="s">
        <v>13</v>
      </c>
      <c r="C73" s="1"/>
      <c r="G73" s="5" t="s">
        <v>244</v>
      </c>
      <c r="I73">
        <v>215</v>
      </c>
    </row>
    <row r="74" spans="1:10" x14ac:dyDescent="0.2">
      <c r="A74" t="s">
        <v>215</v>
      </c>
      <c r="B74" t="s">
        <v>12</v>
      </c>
      <c r="C74" s="1"/>
      <c r="G74" s="5" t="s">
        <v>245</v>
      </c>
      <c r="I74">
        <v>265</v>
      </c>
    </row>
    <row r="75" spans="1:10" x14ac:dyDescent="0.2">
      <c r="A75" t="s">
        <v>402</v>
      </c>
      <c r="B75" t="s">
        <v>16</v>
      </c>
      <c r="C75" s="1"/>
      <c r="G75" s="5" t="s">
        <v>246</v>
      </c>
      <c r="I75">
        <v>210</v>
      </c>
    </row>
    <row r="76" spans="1:10" x14ac:dyDescent="0.2">
      <c r="A76" t="s">
        <v>223</v>
      </c>
      <c r="C76" s="1"/>
      <c r="G76" s="5" t="s">
        <v>246</v>
      </c>
      <c r="I76">
        <v>205</v>
      </c>
    </row>
    <row r="77" spans="1:10" x14ac:dyDescent="0.2">
      <c r="A77" t="s">
        <v>222</v>
      </c>
      <c r="C77" s="1"/>
      <c r="G77" s="5" t="s">
        <v>247</v>
      </c>
      <c r="I77">
        <v>240</v>
      </c>
    </row>
    <row r="78" spans="1:10" x14ac:dyDescent="0.2">
      <c r="A78" t="s">
        <v>224</v>
      </c>
      <c r="G78" s="5" t="s">
        <v>247</v>
      </c>
      <c r="I78">
        <v>220</v>
      </c>
    </row>
    <row r="79" spans="1:10" x14ac:dyDescent="0.2">
      <c r="A79" t="s">
        <v>225</v>
      </c>
      <c r="G79" s="5" t="s">
        <v>241</v>
      </c>
      <c r="I79">
        <v>200</v>
      </c>
    </row>
    <row r="80" spans="1:10" x14ac:dyDescent="0.2">
      <c r="A80" t="s">
        <v>226</v>
      </c>
      <c r="G80" s="5" t="s">
        <v>241</v>
      </c>
      <c r="I80">
        <v>229</v>
      </c>
    </row>
    <row r="81" spans="1:9" x14ac:dyDescent="0.2">
      <c r="A81" t="s">
        <v>227</v>
      </c>
      <c r="G81" s="5" t="s">
        <v>242</v>
      </c>
      <c r="I81">
        <v>190</v>
      </c>
    </row>
    <row r="82" spans="1:9" x14ac:dyDescent="0.2">
      <c r="A82" t="s">
        <v>228</v>
      </c>
      <c r="G82" s="5" t="s">
        <v>245</v>
      </c>
      <c r="I82">
        <v>224</v>
      </c>
    </row>
    <row r="83" spans="1:9" x14ac:dyDescent="0.2">
      <c r="A83" t="s">
        <v>229</v>
      </c>
      <c r="G83" s="5" t="s">
        <v>246</v>
      </c>
      <c r="I83">
        <v>194</v>
      </c>
    </row>
    <row r="84" spans="1:9" x14ac:dyDescent="0.2">
      <c r="A84" t="s">
        <v>239</v>
      </c>
      <c r="G84" s="5" t="s">
        <v>245</v>
      </c>
      <c r="I84">
        <v>235</v>
      </c>
    </row>
    <row r="85" spans="1:9" x14ac:dyDescent="0.2">
      <c r="A85" t="s">
        <v>248</v>
      </c>
      <c r="G85" s="5" t="s">
        <v>246</v>
      </c>
      <c r="I85">
        <v>180</v>
      </c>
    </row>
    <row r="86" spans="1:9" x14ac:dyDescent="0.2">
      <c r="A86" t="s">
        <v>233</v>
      </c>
      <c r="G86" s="5" t="s">
        <v>249</v>
      </c>
      <c r="I86">
        <v>192</v>
      </c>
    </row>
    <row r="87" spans="1:9" x14ac:dyDescent="0.2">
      <c r="A87" t="s">
        <v>230</v>
      </c>
    </row>
    <row r="88" spans="1:9" x14ac:dyDescent="0.2">
      <c r="A88" t="s">
        <v>231</v>
      </c>
    </row>
    <row r="89" spans="1:9" x14ac:dyDescent="0.2">
      <c r="A89" t="s">
        <v>232</v>
      </c>
    </row>
    <row r="90" spans="1:9" x14ac:dyDescent="0.2">
      <c r="A90" t="s">
        <v>234</v>
      </c>
    </row>
    <row r="91" spans="1:9" x14ac:dyDescent="0.2">
      <c r="A91" t="s">
        <v>235</v>
      </c>
      <c r="G91" s="5" t="s">
        <v>249</v>
      </c>
      <c r="I91">
        <v>190</v>
      </c>
    </row>
  </sheetData>
  <autoFilter ref="A1:J1" xr:uid="{10FBC811-F9AD-484B-9EE6-99098365B17C}"/>
  <sortState ref="A2:J78">
    <sortCondition ref="A2:A78"/>
  </sortState>
  <pageMargins left="0.7" right="0.7" top="0.75" bottom="0.75" header="0.3" footer="0.3"/>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8E47C-51B0-A742-8364-F63AA51E72DA}">
  <dimension ref="A1:J61"/>
  <sheetViews>
    <sheetView workbookViewId="0">
      <pane ySplit="1" topLeftCell="A2" activePane="bottomLeft" state="frozen"/>
      <selection pane="bottomLeft" activeCell="H23" sqref="H23"/>
    </sheetView>
  </sheetViews>
  <sheetFormatPr baseColWidth="10" defaultRowHeight="16" x14ac:dyDescent="0.2"/>
  <cols>
    <col min="1" max="1" width="6.83203125" bestFit="1" customWidth="1"/>
    <col min="2" max="2" width="17" bestFit="1" customWidth="1"/>
    <col min="3" max="3" width="8.33203125" bestFit="1" customWidth="1"/>
    <col min="4" max="4" width="6.5" style="2" bestFit="1" customWidth="1"/>
    <col min="5" max="5" width="8.5" style="2" bestFit="1" customWidth="1"/>
    <col min="6" max="6" width="6.83203125" style="2" bestFit="1" customWidth="1"/>
    <col min="7" max="7" width="8.33203125" style="2" bestFit="1" customWidth="1"/>
    <col min="8" max="8" width="10.83203125" style="12"/>
  </cols>
  <sheetData>
    <row r="1" spans="1:10" x14ac:dyDescent="0.2">
      <c r="A1" t="s">
        <v>41</v>
      </c>
      <c r="B1" t="s">
        <v>42</v>
      </c>
      <c r="C1" t="s">
        <v>43</v>
      </c>
      <c r="D1" s="2" t="s">
        <v>47</v>
      </c>
      <c r="E1" s="2" t="s">
        <v>44</v>
      </c>
      <c r="F1" s="2" t="s">
        <v>45</v>
      </c>
      <c r="G1" s="2" t="s">
        <v>46</v>
      </c>
      <c r="H1" s="12" t="s">
        <v>50</v>
      </c>
      <c r="I1">
        <v>2</v>
      </c>
      <c r="J1">
        <v>2</v>
      </c>
    </row>
    <row r="2" spans="1:10" x14ac:dyDescent="0.2">
      <c r="A2">
        <v>1</v>
      </c>
      <c r="B2" t="s">
        <v>209</v>
      </c>
      <c r="C2" t="s">
        <v>462</v>
      </c>
      <c r="D2" s="2" t="str">
        <f>IF(OR(E2="HM", E2="-"),"", IFERROR(VLOOKUP($B2,board!$A:$S,2,FALSE), ""))</f>
        <v>PG</v>
      </c>
      <c r="E2" s="2">
        <f>IFERROR(VLOOKUP($B2,board!$A:$S,18,FALSE), "")</f>
        <v>1</v>
      </c>
      <c r="F2" s="2">
        <f>IFERROR(VLOOKUP($B2,board!$A:$S,19,FALSE), "")</f>
        <v>1</v>
      </c>
      <c r="G2" s="2">
        <f t="shared" ref="G2:G33" si="0">IFERROR(A2-E2, "")</f>
        <v>0</v>
      </c>
      <c r="H2" s="12">
        <f>IFERROR((G2*$J$1)/(A2*$I$1), "")</f>
        <v>0</v>
      </c>
    </row>
    <row r="3" spans="1:10" x14ac:dyDescent="0.2">
      <c r="A3">
        <v>2</v>
      </c>
      <c r="B3" t="s">
        <v>210</v>
      </c>
      <c r="C3" t="s">
        <v>463</v>
      </c>
      <c r="D3" s="2" t="str">
        <f>IF(OR(E3="HM", E3="-"),"", IFERROR(VLOOKUP($B3,board!$A:$S,2,FALSE), ""))</f>
        <v>SG</v>
      </c>
      <c r="E3" s="2">
        <f>IFERROR(VLOOKUP($B3,board!$A:$S,18,FALSE), "")</f>
        <v>3</v>
      </c>
      <c r="F3" s="2">
        <f>IFERROR(VLOOKUP($B3,board!$A:$S,19,FALSE), "")</f>
        <v>2</v>
      </c>
      <c r="G3" s="2">
        <f t="shared" si="0"/>
        <v>-1</v>
      </c>
      <c r="H3" s="12">
        <f>IFERROR((G3*$J$1)/(A3*$I$1), "")</f>
        <v>-0.5</v>
      </c>
    </row>
    <row r="4" spans="1:10" x14ac:dyDescent="0.2">
      <c r="A4">
        <v>3</v>
      </c>
      <c r="B4" t="s">
        <v>214</v>
      </c>
      <c r="C4" t="s">
        <v>464</v>
      </c>
      <c r="D4" s="2" t="str">
        <f>IF(OR(E4="HM", E4="-"),"", IFERROR(VLOOKUP($B4,board!$A:$S,2,FALSE), ""))</f>
        <v>F-C</v>
      </c>
      <c r="E4" s="2">
        <f>IFERROR(VLOOKUP($B4,board!$A:$S,18,FALSE), "")</f>
        <v>2</v>
      </c>
      <c r="F4" s="2">
        <f>IFERROR(VLOOKUP($B4,board!$A:$S,19,FALSE), "")</f>
        <v>1</v>
      </c>
      <c r="G4" s="2">
        <f t="shared" si="0"/>
        <v>1</v>
      </c>
      <c r="H4" s="12">
        <f>IFERROR((G4+$J$1)/(A4*$I$1), "")</f>
        <v>0.5</v>
      </c>
    </row>
    <row r="5" spans="1:10" x14ac:dyDescent="0.2">
      <c r="A5">
        <v>4</v>
      </c>
      <c r="B5" t="s">
        <v>179</v>
      </c>
      <c r="C5" t="s">
        <v>465</v>
      </c>
      <c r="D5" s="2" t="str">
        <f>IF(OR(E5="HM", E5="-"),"", IFERROR(VLOOKUP($B5,board!$A:$S,2,FALSE), ""))</f>
        <v>W</v>
      </c>
      <c r="E5" s="2">
        <f>IFERROR(VLOOKUP($B5,board!$A:$S,18,FALSE), "")</f>
        <v>5</v>
      </c>
      <c r="F5" s="2">
        <f>IFERROR(VLOOKUP($B5,board!$A:$S,19,FALSE), "")</f>
        <v>2</v>
      </c>
      <c r="G5" s="2">
        <f t="shared" si="0"/>
        <v>-1</v>
      </c>
      <c r="H5" s="12">
        <f>IFERROR((G5+$J$1)/(A5*$I$1), "")</f>
        <v>0.125</v>
      </c>
    </row>
    <row r="6" spans="1:10" x14ac:dyDescent="0.2">
      <c r="A6">
        <v>5</v>
      </c>
      <c r="B6" t="s">
        <v>223</v>
      </c>
      <c r="C6" t="s">
        <v>466</v>
      </c>
      <c r="D6" s="2" t="str">
        <f>IF(OR(E6="HM", E6="-"),"", IFERROR(VLOOKUP($B6,board!$A:$S,2,FALSE), ""))</f>
        <v>PG</v>
      </c>
      <c r="E6" s="2">
        <f>IFERROR(VLOOKUP($B6,board!$A:$S,18,FALSE), "")</f>
        <v>6</v>
      </c>
      <c r="F6" s="2">
        <f>IFERROR(VLOOKUP($B6,board!$A:$S,19,FALSE), "")</f>
        <v>2</v>
      </c>
      <c r="G6" s="2">
        <f t="shared" si="0"/>
        <v>-1</v>
      </c>
      <c r="H6" s="12">
        <f>IFERROR((G6+$J$1)/(A6*$I$1), "")</f>
        <v>0.1</v>
      </c>
    </row>
    <row r="7" spans="1:10" x14ac:dyDescent="0.2">
      <c r="A7">
        <v>6</v>
      </c>
      <c r="B7" t="s">
        <v>225</v>
      </c>
      <c r="C7" t="s">
        <v>467</v>
      </c>
      <c r="D7" s="2" t="str">
        <f>IF(OR(E7="HM", E7="-"),"", IFERROR(VLOOKUP($B7,board!$A:$S,2,FALSE), ""))</f>
        <v>G-W</v>
      </c>
      <c r="E7" s="2">
        <f>IFERROR(VLOOKUP($B7,board!$A:$S,18,FALSE), "")</f>
        <v>7</v>
      </c>
      <c r="F7" s="2">
        <f>IFERROR(VLOOKUP($B7,board!$A:$S,19,FALSE), "")</f>
        <v>3</v>
      </c>
      <c r="G7" s="2">
        <f t="shared" si="0"/>
        <v>-1</v>
      </c>
      <c r="H7" s="12">
        <f>IFERROR((G7*$J$1)/(A7*$I$1), "")</f>
        <v>-0.16666666666666666</v>
      </c>
    </row>
    <row r="8" spans="1:10" x14ac:dyDescent="0.2">
      <c r="A8">
        <v>7</v>
      </c>
      <c r="B8" t="s">
        <v>212</v>
      </c>
      <c r="C8" t="s">
        <v>468</v>
      </c>
      <c r="D8" s="2" t="str">
        <f>IF(OR(E8="HM", E8="-"),"", IFERROR(VLOOKUP($B8,board!$A:$S,2,FALSE), ""))</f>
        <v>W</v>
      </c>
      <c r="E8" s="2">
        <f>IFERROR(VLOOKUP($B8,board!$A:$S,18,FALSE), "")</f>
        <v>8</v>
      </c>
      <c r="F8" s="2">
        <f>IFERROR(VLOOKUP($B8,board!$A:$S,19,FALSE), "")</f>
        <v>3</v>
      </c>
      <c r="G8" s="2">
        <f t="shared" si="0"/>
        <v>-1</v>
      </c>
      <c r="H8" s="12">
        <f>IFERROR((G8*$J$1)/(A8*$I$1), "")</f>
        <v>-0.14285714285714285</v>
      </c>
    </row>
    <row r="9" spans="1:10" x14ac:dyDescent="0.2">
      <c r="A9">
        <v>8</v>
      </c>
      <c r="B9" t="s">
        <v>224</v>
      </c>
      <c r="C9" t="s">
        <v>466</v>
      </c>
      <c r="D9" s="2" t="str">
        <f>IF(OR(E9="HM", E9="-"),"", IFERROR(VLOOKUP($B9,board!$A:$S,2,FALSE), ""))</f>
        <v>W</v>
      </c>
      <c r="E9" s="2">
        <f>IFERROR(VLOOKUP($B9,board!$A:$S,18,FALSE), "")</f>
        <v>4</v>
      </c>
      <c r="F9" s="2">
        <f>IFERROR(VLOOKUP($B9,board!$A:$S,19,FALSE), "")</f>
        <v>2</v>
      </c>
      <c r="G9" s="2">
        <f t="shared" si="0"/>
        <v>4</v>
      </c>
      <c r="H9" s="12">
        <f>IFERROR((G9+$J$1)/(A9*$I$1), "")</f>
        <v>0.375</v>
      </c>
    </row>
    <row r="10" spans="1:10" x14ac:dyDescent="0.2">
      <c r="A10">
        <v>9</v>
      </c>
      <c r="B10" t="s">
        <v>146</v>
      </c>
      <c r="C10" t="s">
        <v>469</v>
      </c>
      <c r="D10" s="2" t="str">
        <f>IF(OR(E10="HM", E10="-"),"", IFERROR(VLOOKUP($B10,board!$A:$S,2,FALSE), ""))</f>
        <v>PG</v>
      </c>
      <c r="E10" s="2">
        <f>IFERROR(VLOOKUP($B10,board!$A:$S,18,FALSE), "")</f>
        <v>31</v>
      </c>
      <c r="F10" s="2">
        <f>IFERROR(VLOOKUP($B10,board!$A:$S,19,FALSE), "")</f>
        <v>6</v>
      </c>
      <c r="G10" s="2">
        <f t="shared" si="0"/>
        <v>-22</v>
      </c>
      <c r="H10" s="12">
        <f>IFERROR((G10*$J$1)/(A10*$I$1), "")</f>
        <v>-2.4444444444444446</v>
      </c>
    </row>
    <row r="11" spans="1:10" x14ac:dyDescent="0.2">
      <c r="A11">
        <v>10</v>
      </c>
      <c r="B11" t="s">
        <v>199</v>
      </c>
      <c r="C11" t="s">
        <v>470</v>
      </c>
      <c r="D11" s="2" t="str">
        <f>IF(OR(E11="HM", E11="-"),"", IFERROR(VLOOKUP($B11,board!$A:$S,2,FALSE), ""))</f>
        <v>W</v>
      </c>
      <c r="E11" s="2">
        <f>IFERROR(VLOOKUP($B11,board!$A:$S,18,FALSE), "")</f>
        <v>17</v>
      </c>
      <c r="F11" s="2">
        <f>IFERROR(VLOOKUP($B11,board!$A:$S,19,FALSE), "")</f>
        <v>5</v>
      </c>
      <c r="G11" s="2">
        <f t="shared" si="0"/>
        <v>-7</v>
      </c>
      <c r="H11" s="12">
        <f>IFERROR((G11*$J$1)/(A11*$I$1), "")</f>
        <v>-0.7</v>
      </c>
    </row>
    <row r="12" spans="1:10" x14ac:dyDescent="0.2">
      <c r="A12">
        <v>11</v>
      </c>
      <c r="B12" t="s">
        <v>173</v>
      </c>
      <c r="C12" t="s">
        <v>471</v>
      </c>
      <c r="D12" s="2" t="str">
        <f>IF(OR(E12="HM", E12="-"),"", IFERROR(VLOOKUP($B12,board!$A:$S,2,FALSE), ""))</f>
        <v>SG</v>
      </c>
      <c r="E12" s="2">
        <f>IFERROR(VLOOKUP($B12,board!$A:$S,18,FALSE), "")</f>
        <v>13</v>
      </c>
      <c r="F12" s="2">
        <f>IFERROR(VLOOKUP($B12,board!$A:$S,19,FALSE), "")</f>
        <v>4</v>
      </c>
      <c r="G12" s="2">
        <f t="shared" si="0"/>
        <v>-2</v>
      </c>
      <c r="H12" s="12">
        <f>IFERROR((G12*$J$1)/(A12*$I$1), "")</f>
        <v>-0.18181818181818182</v>
      </c>
    </row>
    <row r="13" spans="1:10" x14ac:dyDescent="0.2">
      <c r="A13">
        <v>12</v>
      </c>
      <c r="B13" t="s">
        <v>141</v>
      </c>
      <c r="C13" t="s">
        <v>472</v>
      </c>
      <c r="D13" s="2" t="str">
        <f>IF(OR(E13="HM", E13="-"),"", IFERROR(VLOOKUP($B13,board!$A:$S,2,FALSE), ""))</f>
        <v>G-W</v>
      </c>
      <c r="E13" s="2">
        <f>IFERROR(VLOOKUP($B13,board!$A:$S,18,FALSE), "")</f>
        <v>21</v>
      </c>
      <c r="F13" s="2">
        <f>IFERROR(VLOOKUP($B13,board!$A:$S,19,FALSE), "")</f>
        <v>6</v>
      </c>
      <c r="G13" s="2">
        <f t="shared" si="0"/>
        <v>-9</v>
      </c>
      <c r="H13" s="12">
        <f>IFERROR((G13*$J$1)/(A13*$I$1), "")</f>
        <v>-0.75</v>
      </c>
    </row>
    <row r="14" spans="1:10" x14ac:dyDescent="0.2">
      <c r="A14">
        <v>13</v>
      </c>
      <c r="B14" t="s">
        <v>227</v>
      </c>
      <c r="C14" t="s">
        <v>473</v>
      </c>
      <c r="D14" s="2" t="str">
        <f>IF(OR(E14="HM", E14="-"),"", IFERROR(VLOOKUP($B14,board!$A:$S,2,FALSE), ""))</f>
        <v>W</v>
      </c>
      <c r="E14" s="2">
        <f>IFERROR(VLOOKUP($B14,board!$A:$S,18,FALSE), "")</f>
        <v>32</v>
      </c>
      <c r="F14" s="2">
        <f>IFERROR(VLOOKUP($B14,board!$A:$S,19,FALSE), "")</f>
        <v>6</v>
      </c>
      <c r="G14" s="2">
        <f t="shared" si="0"/>
        <v>-19</v>
      </c>
      <c r="H14" s="12">
        <f>IFERROR((G14*$J$1)/(A14*$I$1), "")</f>
        <v>-1.4615384615384615</v>
      </c>
    </row>
    <row r="15" spans="1:10" x14ac:dyDescent="0.2">
      <c r="A15">
        <v>14</v>
      </c>
      <c r="B15" t="s">
        <v>128</v>
      </c>
      <c r="C15" t="s">
        <v>468</v>
      </c>
      <c r="D15" s="2" t="str">
        <f>IF(OR(E15="HM", E15="-"),"", IFERROR(VLOOKUP($B15,board!$A:$S,2,FALSE), ""))</f>
        <v>W</v>
      </c>
      <c r="E15" s="2">
        <f>IFERROR(VLOOKUP($B15,board!$A:$S,18,FALSE), "")</f>
        <v>10</v>
      </c>
      <c r="F15" s="2">
        <f>IFERROR(VLOOKUP($B15,board!$A:$S,19,FALSE), "")</f>
        <v>3</v>
      </c>
      <c r="G15" s="2">
        <f t="shared" si="0"/>
        <v>4</v>
      </c>
      <c r="H15" s="12">
        <f>IFERROR((G15+$J$1)/(A15*$I$1), "")</f>
        <v>0.21428571428571427</v>
      </c>
    </row>
    <row r="16" spans="1:10" x14ac:dyDescent="0.2">
      <c r="A16">
        <v>15</v>
      </c>
      <c r="B16" t="s">
        <v>130</v>
      </c>
      <c r="C16" t="s">
        <v>474</v>
      </c>
      <c r="D16" s="2" t="str">
        <f>IF(OR(E16="HM", E16="-"),"", IFERROR(VLOOKUP($B16,board!$A:$S,2,FALSE), ""))</f>
        <v>W</v>
      </c>
      <c r="E16" s="2">
        <f>IFERROR(VLOOKUP($B16,board!$A:$S,18,FALSE), "")</f>
        <v>20</v>
      </c>
      <c r="F16" s="2">
        <f>IFERROR(VLOOKUP($B16,board!$A:$S,19,FALSE), "")</f>
        <v>5</v>
      </c>
      <c r="G16" s="2">
        <f t="shared" si="0"/>
        <v>-5</v>
      </c>
      <c r="H16" s="12">
        <f>IFERROR((G16*$J$1)/(A16*$I$1), "")</f>
        <v>-0.33333333333333331</v>
      </c>
    </row>
    <row r="17" spans="1:8" x14ac:dyDescent="0.2">
      <c r="A17">
        <v>16</v>
      </c>
      <c r="B17" t="s">
        <v>222</v>
      </c>
      <c r="C17" t="s">
        <v>463</v>
      </c>
      <c r="D17" s="2" t="str">
        <f>IF(OR(E17="HM", E17="-"),"", IFERROR(VLOOKUP($B17,board!$A:$S,2,FALSE), ""))</f>
        <v>C</v>
      </c>
      <c r="E17" s="2">
        <f>IFERROR(VLOOKUP($B17,board!$A:$S,18,FALSE), "")</f>
        <v>9</v>
      </c>
      <c r="F17" s="2">
        <f>IFERROR(VLOOKUP($B17,board!$A:$S,19,FALSE), "")</f>
        <v>3</v>
      </c>
      <c r="G17" s="2">
        <f t="shared" si="0"/>
        <v>7</v>
      </c>
      <c r="H17" s="12">
        <f>IFERROR((G17+$J$1)/(A17*$I$1), "")</f>
        <v>0.28125</v>
      </c>
    </row>
    <row r="18" spans="1:8" x14ac:dyDescent="0.2">
      <c r="A18">
        <v>17</v>
      </c>
      <c r="B18" t="s">
        <v>98</v>
      </c>
      <c r="C18" t="s">
        <v>470</v>
      </c>
      <c r="D18" s="2" t="str">
        <f>IF(OR(E18="HM", E18="-"),"", IFERROR(VLOOKUP($B18,board!$A:$S,2,FALSE), ""))</f>
        <v>SF</v>
      </c>
      <c r="E18" s="2">
        <f>IFERROR(VLOOKUP($B18,board!$A:$S,18,FALSE), "")</f>
        <v>28</v>
      </c>
      <c r="F18" s="2">
        <f>IFERROR(VLOOKUP($B18,board!$A:$S,19,FALSE), "")</f>
        <v>6</v>
      </c>
      <c r="G18" s="2">
        <f t="shared" si="0"/>
        <v>-11</v>
      </c>
      <c r="H18" s="12">
        <f>IFERROR((G18*$J$1)/(A18*$I$1), "")</f>
        <v>-0.6470588235294118</v>
      </c>
    </row>
    <row r="19" spans="1:8" x14ac:dyDescent="0.2">
      <c r="A19">
        <v>18</v>
      </c>
      <c r="B19" t="s">
        <v>206</v>
      </c>
      <c r="C19" t="s">
        <v>467</v>
      </c>
      <c r="D19" s="2" t="str">
        <f>IF(OR(E19="HM", E19="-"),"", IFERROR(VLOOKUP($B19,board!$A:$S,2,FALSE), ""))</f>
        <v>G</v>
      </c>
      <c r="E19" s="2">
        <f>IFERROR(VLOOKUP($B19,board!$A:$S,18,FALSE), "")</f>
        <v>34</v>
      </c>
      <c r="F19" s="2">
        <f>IFERROR(VLOOKUP($B19,board!$A:$S,19,FALSE), "")</f>
        <v>7</v>
      </c>
      <c r="G19" s="2">
        <f t="shared" si="0"/>
        <v>-16</v>
      </c>
      <c r="H19" s="12">
        <f>IFERROR((G19*$J$1)/(A19*$I$1), "")</f>
        <v>-0.88888888888888884</v>
      </c>
    </row>
    <row r="20" spans="1:8" x14ac:dyDescent="0.2">
      <c r="A20">
        <v>19</v>
      </c>
      <c r="B20" t="s">
        <v>192</v>
      </c>
      <c r="C20" t="s">
        <v>471</v>
      </c>
      <c r="D20" s="2" t="str">
        <f>IF(OR(E20="HM", E20="-"),"", IFERROR(VLOOKUP($B20,board!$A:$S,2,FALSE), ""))</f>
        <v>F-C</v>
      </c>
      <c r="E20" s="2">
        <f>IFERROR(VLOOKUP($B20,board!$A:$S,18,FALSE), "")</f>
        <v>27</v>
      </c>
      <c r="F20" s="2">
        <f>IFERROR(VLOOKUP($B20,board!$A:$S,19,FALSE), "")</f>
        <v>6</v>
      </c>
      <c r="G20" s="2">
        <f t="shared" si="0"/>
        <v>-8</v>
      </c>
      <c r="H20" s="12">
        <f>IFERROR((G20*$J$1)/(A20*$I$1), "")</f>
        <v>-0.42105263157894735</v>
      </c>
    </row>
    <row r="21" spans="1:8" x14ac:dyDescent="0.2">
      <c r="A21">
        <v>20</v>
      </c>
      <c r="B21" t="s">
        <v>196</v>
      </c>
      <c r="C21" t="s">
        <v>475</v>
      </c>
      <c r="D21" s="2" t="str">
        <f>IF(OR(E21="HM", E21="-"),"", IFERROR(VLOOKUP($B21,board!$A:$S,2,FALSE), ""))</f>
        <v>F</v>
      </c>
      <c r="E21" s="2">
        <f>IFERROR(VLOOKUP($B21,board!$A:$S,18,FALSE), "")</f>
        <v>12</v>
      </c>
      <c r="F21" s="2">
        <f>IFERROR(VLOOKUP($B21,board!$A:$S,19,FALSE), "")</f>
        <v>4</v>
      </c>
      <c r="G21" s="2">
        <f t="shared" si="0"/>
        <v>8</v>
      </c>
      <c r="H21" s="12">
        <f>IFERROR((G21+$J$1)/(A21*$I$1), "")</f>
        <v>0.25</v>
      </c>
    </row>
    <row r="22" spans="1:8" x14ac:dyDescent="0.2">
      <c r="A22">
        <v>21</v>
      </c>
      <c r="B22" t="s">
        <v>200</v>
      </c>
      <c r="C22" t="s">
        <v>476</v>
      </c>
      <c r="D22" s="2" t="str">
        <f>IF(OR(E22="HM", E22="-"),"", IFERROR(VLOOKUP($B22,board!$A:$S,2,FALSE), ""))</f>
        <v>SG</v>
      </c>
      <c r="E22" s="2">
        <f>IFERROR(VLOOKUP($B22,board!$A:$S,18,FALSE), "")</f>
        <v>15</v>
      </c>
      <c r="F22" s="2">
        <f>IFERROR(VLOOKUP($B22,board!$A:$S,19,FALSE), "")</f>
        <v>5</v>
      </c>
      <c r="G22" s="2">
        <f t="shared" si="0"/>
        <v>6</v>
      </c>
      <c r="H22" s="12">
        <f>IFERROR((G22*$J$1)/(A22*$I$1), "")</f>
        <v>0.2857142857142857</v>
      </c>
    </row>
    <row r="23" spans="1:8" x14ac:dyDescent="0.2">
      <c r="A23">
        <v>22</v>
      </c>
      <c r="B23" t="s">
        <v>211</v>
      </c>
      <c r="C23" t="s">
        <v>473</v>
      </c>
      <c r="D23" s="2" t="str">
        <f>IF(OR(E23="HM", E23="-"),"", IFERROR(VLOOKUP($B23,board!$A:$S,2,FALSE), ""))</f>
        <v>C</v>
      </c>
      <c r="E23" s="2">
        <f>IFERROR(VLOOKUP($B23,board!$A:$S,18,FALSE), "")</f>
        <v>23</v>
      </c>
      <c r="F23" s="2">
        <f>IFERROR(VLOOKUP($B23,board!$A:$S,19,FALSE), "")</f>
        <v>6</v>
      </c>
      <c r="G23" s="2">
        <f t="shared" si="0"/>
        <v>-1</v>
      </c>
      <c r="H23" s="12">
        <f>IFERROR((G23*$J$1)/(A23*$I$1), "")</f>
        <v>-4.5454545454545456E-2</v>
      </c>
    </row>
    <row r="24" spans="1:8" x14ac:dyDescent="0.2">
      <c r="A24">
        <v>23</v>
      </c>
      <c r="B24" t="s">
        <v>226</v>
      </c>
      <c r="C24" t="s">
        <v>463</v>
      </c>
      <c r="D24" s="2" t="str">
        <f>IF(OR(E24="HM", E24="-"),"", IFERROR(VLOOKUP($B24,board!$A:$S,2,FALSE), ""))</f>
        <v>F-C</v>
      </c>
      <c r="E24" s="2">
        <f>IFERROR(VLOOKUP($B24,board!$A:$S,18,FALSE), "")</f>
        <v>18</v>
      </c>
      <c r="F24" s="2">
        <f>IFERROR(VLOOKUP($B24,board!$A:$S,19,FALSE), "")</f>
        <v>5</v>
      </c>
      <c r="G24" s="2">
        <f t="shared" si="0"/>
        <v>5</v>
      </c>
      <c r="H24" s="12">
        <f>IFERROR((G24+$J$1)/(A24*$I$1), "")</f>
        <v>0.15217391304347827</v>
      </c>
    </row>
    <row r="25" spans="1:8" x14ac:dyDescent="0.2">
      <c r="A25">
        <v>24</v>
      </c>
      <c r="B25" t="s">
        <v>163</v>
      </c>
      <c r="C25" t="s">
        <v>463</v>
      </c>
      <c r="D25" s="2" t="str">
        <f>IF(OR(E25="HM", E25="-"),"", IFERROR(VLOOKUP($B25,board!$A:$S,2,FALSE), ""))</f>
        <v>SG</v>
      </c>
      <c r="E25" s="2">
        <f>IFERROR(VLOOKUP($B25,board!$A:$S,18,FALSE), "")</f>
        <v>24</v>
      </c>
      <c r="F25" s="2">
        <f>IFERROR(VLOOKUP($B25,board!$A:$S,19,FALSE), "")</f>
        <v>6</v>
      </c>
      <c r="G25" s="2">
        <f t="shared" si="0"/>
        <v>0</v>
      </c>
      <c r="H25" s="12">
        <f>IFERROR((G25+$J$1)/(A25*$I$1), "")</f>
        <v>4.1666666666666664E-2</v>
      </c>
    </row>
    <row r="26" spans="1:8" x14ac:dyDescent="0.2">
      <c r="A26">
        <v>25</v>
      </c>
      <c r="B26" t="s">
        <v>138</v>
      </c>
      <c r="C26" t="s">
        <v>477</v>
      </c>
      <c r="D26" s="2" t="str">
        <f>IF(OR(E26="HM", E26="-"),"", IFERROR(VLOOKUP($B26,board!$A:$S,2,FALSE), ""))</f>
        <v>G-W</v>
      </c>
      <c r="E26" s="2" t="str">
        <f>IFERROR(VLOOKUP($B26,board!$A:$S,18,FALSE), "")</f>
        <v>HM.</v>
      </c>
      <c r="F26" s="2">
        <f>IFERROR(VLOOKUP($B26,board!$A:$S,19,FALSE), "")</f>
        <v>8</v>
      </c>
      <c r="G26" s="2" t="str">
        <f t="shared" si="0"/>
        <v/>
      </c>
      <c r="H26" s="12" t="str">
        <f>IFERROR((G26*$J$1)/(A26*$I$1), "")</f>
        <v/>
      </c>
    </row>
    <row r="27" spans="1:8" x14ac:dyDescent="0.2">
      <c r="A27">
        <v>26</v>
      </c>
      <c r="B27" t="s">
        <v>164</v>
      </c>
      <c r="C27" t="s">
        <v>478</v>
      </c>
      <c r="D27" s="2" t="str">
        <f>IF(OR(E27="HM", E27="-"),"", IFERROR(VLOOKUP($B27,board!$A:$S,2,FALSE), ""))</f>
        <v>SG</v>
      </c>
      <c r="E27" s="2">
        <f>IFERROR(VLOOKUP($B27,board!$A:$S,18,FALSE), "")</f>
        <v>36</v>
      </c>
      <c r="F27" s="2">
        <f>IFERROR(VLOOKUP($B27,board!$A:$S,19,FALSE), "")</f>
        <v>7</v>
      </c>
      <c r="G27" s="2">
        <f t="shared" si="0"/>
        <v>-10</v>
      </c>
      <c r="H27" s="12">
        <f>IFERROR((G27*$J$1)/(A27*$I$1), "")</f>
        <v>-0.38461538461538464</v>
      </c>
    </row>
    <row r="28" spans="1:8" x14ac:dyDescent="0.2">
      <c r="A28">
        <v>27</v>
      </c>
      <c r="B28" t="s">
        <v>402</v>
      </c>
      <c r="C28" t="s">
        <v>479</v>
      </c>
      <c r="D28" s="2" t="str">
        <f>IF(OR(E28="HM", E28="-"),"", IFERROR(VLOOKUP($B28,board!$A:$S,2,FALSE), ""))</f>
        <v>G</v>
      </c>
      <c r="E28" s="2">
        <f>IFERROR(VLOOKUP($B28,board!$A:$S,18,FALSE), "")</f>
        <v>25</v>
      </c>
      <c r="F28" s="2">
        <f>IFERROR(VLOOKUP($B28,board!$A:$S,19,FALSE), "")</f>
        <v>6</v>
      </c>
      <c r="G28" s="2">
        <f t="shared" si="0"/>
        <v>2</v>
      </c>
      <c r="H28" s="12">
        <f>IFERROR((G28*$J$1)/(A28*$I$1), "")</f>
        <v>7.407407407407407E-2</v>
      </c>
    </row>
    <row r="29" spans="1:8" x14ac:dyDescent="0.2">
      <c r="A29">
        <v>28</v>
      </c>
      <c r="B29" t="s">
        <v>143</v>
      </c>
      <c r="C29" t="s">
        <v>480</v>
      </c>
      <c r="D29" s="2" t="str">
        <f>IF(OR(E29="HM", E29="-"),"", IFERROR(VLOOKUP($B29,board!$A:$S,2,FALSE), ""))</f>
        <v>G</v>
      </c>
      <c r="E29" s="2">
        <f>IFERROR(VLOOKUP($B29,board!$A:$S,18,FALSE), "")</f>
        <v>11</v>
      </c>
      <c r="F29" s="2">
        <f>IFERROR(VLOOKUP($B29,board!$A:$S,19,FALSE), "")</f>
        <v>4</v>
      </c>
      <c r="G29" s="2">
        <f t="shared" si="0"/>
        <v>17</v>
      </c>
      <c r="H29" s="12">
        <f>IFERROR((G29+$J$1)/(A29*$I$1), "")</f>
        <v>0.3392857142857143</v>
      </c>
    </row>
    <row r="30" spans="1:8" x14ac:dyDescent="0.2">
      <c r="A30">
        <v>29</v>
      </c>
      <c r="B30" t="s">
        <v>215</v>
      </c>
      <c r="C30" t="s">
        <v>481</v>
      </c>
      <c r="D30" s="2" t="str">
        <f>IF(OR(E30="HM", E30="-"),"", IFERROR(VLOOKUP($B30,board!$A:$S,2,FALSE), ""))</f>
        <v>C</v>
      </c>
      <c r="E30" s="2" t="str">
        <f>IFERROR(VLOOKUP($B30,board!$A:$S,18,FALSE), "")</f>
        <v>HM.</v>
      </c>
      <c r="F30" s="2">
        <f>IFERROR(VLOOKUP($B30,board!$A:$S,19,FALSE), "")</f>
        <v>8</v>
      </c>
      <c r="G30" s="2" t="str">
        <f t="shared" si="0"/>
        <v/>
      </c>
      <c r="H30" s="12" t="str">
        <f t="shared" ref="H30:H35" si="1">IFERROR((G30*$J$1)/(A30*$I$1), "")</f>
        <v/>
      </c>
    </row>
    <row r="31" spans="1:8" x14ac:dyDescent="0.2">
      <c r="A31">
        <v>30</v>
      </c>
      <c r="B31" t="s">
        <v>228</v>
      </c>
      <c r="C31" t="s">
        <v>482</v>
      </c>
      <c r="D31" s="2" t="str">
        <f>IF(OR(E31="HM", E31="-"),"", IFERROR(VLOOKUP($B31,board!$A:$S,2,FALSE), ""))</f>
        <v>W-F</v>
      </c>
      <c r="E31" s="2">
        <f>IFERROR(VLOOKUP($B31,board!$A:$S,18,FALSE), "")</f>
        <v>35</v>
      </c>
      <c r="F31" s="2">
        <f>IFERROR(VLOOKUP($B31,board!$A:$S,19,FALSE), "")</f>
        <v>7</v>
      </c>
      <c r="G31" s="2">
        <f t="shared" si="0"/>
        <v>-5</v>
      </c>
      <c r="H31" s="12">
        <f t="shared" si="1"/>
        <v>-0.16666666666666666</v>
      </c>
    </row>
    <row r="32" spans="1:8" x14ac:dyDescent="0.2">
      <c r="A32">
        <v>31</v>
      </c>
      <c r="B32" t="s">
        <v>145</v>
      </c>
      <c r="C32" t="s">
        <v>474</v>
      </c>
      <c r="D32" s="2" t="str">
        <f>IF(OR(E32="HM", E32="-"),"", IFERROR(VLOOKUP($B32,board!$A:$S,2,FALSE), ""))</f>
        <v>PF</v>
      </c>
      <c r="E32" s="2">
        <f>IFERROR(VLOOKUP($B32,board!$A:$S,18,FALSE), "")</f>
        <v>33</v>
      </c>
      <c r="F32" s="2">
        <f>IFERROR(VLOOKUP($B32,board!$A:$S,19,FALSE), "")</f>
        <v>7</v>
      </c>
      <c r="G32" s="2">
        <f t="shared" si="0"/>
        <v>-2</v>
      </c>
      <c r="H32" s="12">
        <f t="shared" si="1"/>
        <v>-6.4516129032258063E-2</v>
      </c>
    </row>
    <row r="33" spans="1:8" x14ac:dyDescent="0.2">
      <c r="A33">
        <v>32</v>
      </c>
      <c r="B33" t="s">
        <v>91</v>
      </c>
      <c r="C33" t="s">
        <v>467</v>
      </c>
      <c r="D33" s="2" t="str">
        <f>IF(OR(E33="HM", E33="-"),"", IFERROR(VLOOKUP($B33,board!$A:$S,2,FALSE), ""))</f>
        <v>F</v>
      </c>
      <c r="E33" s="2" t="str">
        <f>IFERROR(VLOOKUP($B33,board!$A:$S,18,FALSE), "")</f>
        <v>HM.</v>
      </c>
      <c r="F33" s="2">
        <f>IFERROR(VLOOKUP($B33,board!$A:$S,19,FALSE), "")</f>
        <v>8</v>
      </c>
      <c r="G33" s="2" t="str">
        <f t="shared" si="0"/>
        <v/>
      </c>
      <c r="H33" s="12" t="str">
        <f t="shared" si="1"/>
        <v/>
      </c>
    </row>
    <row r="34" spans="1:8" x14ac:dyDescent="0.2">
      <c r="A34">
        <v>33</v>
      </c>
      <c r="B34" t="s">
        <v>178</v>
      </c>
      <c r="C34" t="s">
        <v>476</v>
      </c>
      <c r="D34" s="2" t="str">
        <f>IF(OR(E34="HM", E34="-"),"", IFERROR(VLOOKUP($B34,board!$A:$S,2,FALSE), ""))</f>
        <v>PG</v>
      </c>
      <c r="E34" s="2">
        <f>IFERROR(VLOOKUP($B34,board!$A:$S,18,FALSE), "")</f>
        <v>40</v>
      </c>
      <c r="F34" s="2">
        <f>IFERROR(VLOOKUP($B34,board!$A:$S,19,FALSE), "")</f>
        <v>7</v>
      </c>
      <c r="G34" s="2">
        <f t="shared" ref="G34:G61" si="2">IFERROR(A34-E34, "")</f>
        <v>-7</v>
      </c>
      <c r="H34" s="12">
        <f t="shared" si="1"/>
        <v>-0.21212121212121213</v>
      </c>
    </row>
    <row r="35" spans="1:8" x14ac:dyDescent="0.2">
      <c r="A35">
        <v>34</v>
      </c>
      <c r="B35" t="s">
        <v>229</v>
      </c>
      <c r="C35" t="s">
        <v>477</v>
      </c>
      <c r="D35" s="2" t="str">
        <f>IF(OR(E35="HM", E35="-"),"", IFERROR(VLOOKUP($B35,board!$A:$S,2,FALSE), ""))</f>
        <v>G</v>
      </c>
      <c r="E35" s="2" t="str">
        <f>IFERROR(VLOOKUP($B35,board!$A:$S,18,FALSE), "")</f>
        <v>HM.</v>
      </c>
      <c r="F35" s="2">
        <f>IFERROR(VLOOKUP($B35,board!$A:$S,19,FALSE), "")</f>
        <v>8</v>
      </c>
      <c r="G35" s="2" t="str">
        <f t="shared" si="2"/>
        <v/>
      </c>
      <c r="H35" s="12" t="str">
        <f t="shared" si="1"/>
        <v/>
      </c>
    </row>
    <row r="36" spans="1:8" x14ac:dyDescent="0.2">
      <c r="A36">
        <v>35</v>
      </c>
      <c r="B36" t="s">
        <v>160</v>
      </c>
      <c r="C36" t="s">
        <v>483</v>
      </c>
      <c r="D36" s="2" t="str">
        <f>IF(OR(E36="HM", E36="-"),"", IFERROR(VLOOKUP($B36,board!$A:$S,2,FALSE), ""))</f>
        <v>W-F</v>
      </c>
      <c r="E36" s="2">
        <f>IFERROR(VLOOKUP($B36,board!$A:$S,18,FALSE), "")</f>
        <v>30</v>
      </c>
      <c r="F36" s="2">
        <f>IFERROR(VLOOKUP($B36,board!$A:$S,19,FALSE), "")</f>
        <v>6</v>
      </c>
      <c r="G36" s="2">
        <f t="shared" si="2"/>
        <v>5</v>
      </c>
      <c r="H36" s="12">
        <f>IFERROR((G36+$J$1)/(A36*$I$1), "")</f>
        <v>0.1</v>
      </c>
    </row>
    <row r="37" spans="1:8" x14ac:dyDescent="0.2">
      <c r="A37">
        <v>36</v>
      </c>
      <c r="B37" t="s">
        <v>154</v>
      </c>
      <c r="C37" t="s">
        <v>477</v>
      </c>
      <c r="D37" s="2" t="str">
        <f>IF(OR(E37="HM", E37="-"),"", IFERROR(VLOOKUP($B37,board!$A:$S,2,FALSE), ""))</f>
        <v>G</v>
      </c>
      <c r="E37" s="2">
        <f>IFERROR(VLOOKUP($B37,board!$A:$S,18,FALSE), "")</f>
        <v>19</v>
      </c>
      <c r="F37" s="2">
        <f>IFERROR(VLOOKUP($B37,board!$A:$S,19,FALSE), "")</f>
        <v>5</v>
      </c>
      <c r="G37" s="2">
        <f t="shared" si="2"/>
        <v>17</v>
      </c>
      <c r="H37" s="12">
        <f>IFERROR((G37+$J$1)/(A37*$I$1), "")</f>
        <v>0.2638888888888889</v>
      </c>
    </row>
    <row r="38" spans="1:8" x14ac:dyDescent="0.2">
      <c r="A38">
        <v>37</v>
      </c>
      <c r="B38" t="s">
        <v>150</v>
      </c>
      <c r="C38" t="s">
        <v>471</v>
      </c>
      <c r="D38" s="2" t="str">
        <f>IF(OR(E38="HM", E38="-"),"", IFERROR(VLOOKUP($B38,board!$A:$S,2,FALSE), ""))</f>
        <v>PF</v>
      </c>
      <c r="E38" s="2">
        <f>IFERROR(VLOOKUP($B38,board!$A:$S,18,FALSE), "")</f>
        <v>22</v>
      </c>
      <c r="F38" s="2">
        <f>IFERROR(VLOOKUP($B38,board!$A:$S,19,FALSE), "")</f>
        <v>6</v>
      </c>
      <c r="G38" s="2">
        <f t="shared" si="2"/>
        <v>15</v>
      </c>
      <c r="H38" s="12">
        <f>IFERROR((G38+$J$1)/(A38*$I$1), "")</f>
        <v>0.22972972972972974</v>
      </c>
    </row>
    <row r="39" spans="1:8" x14ac:dyDescent="0.2">
      <c r="A39">
        <v>38</v>
      </c>
      <c r="B39" t="s">
        <v>191</v>
      </c>
      <c r="C39" t="s">
        <v>484</v>
      </c>
      <c r="D39" s="2" t="str">
        <f>IF(OR(E39="HM", E39="-"),"", IFERROR(VLOOKUP($B39,board!$A:$S,2,FALSE), ""))</f>
        <v>W</v>
      </c>
      <c r="E39" s="2">
        <f>IFERROR(VLOOKUP($B39,board!$A:$S,18,FALSE), "")</f>
        <v>37</v>
      </c>
      <c r="F39" s="2">
        <f>IFERROR(VLOOKUP($B39,board!$A:$S,19,FALSE), "")</f>
        <v>7</v>
      </c>
      <c r="G39" s="2">
        <f t="shared" si="2"/>
        <v>1</v>
      </c>
      <c r="H39" s="12">
        <f>IFERROR((G39*$J$1)/(A39*$I$1), "")</f>
        <v>2.6315789473684209E-2</v>
      </c>
    </row>
    <row r="40" spans="1:8" x14ac:dyDescent="0.2">
      <c r="A40">
        <v>39</v>
      </c>
      <c r="B40" t="s">
        <v>109</v>
      </c>
      <c r="C40" t="s">
        <v>469</v>
      </c>
      <c r="D40" s="2" t="str">
        <f>IF(OR(E40="HM", E40="-"),"", IFERROR(VLOOKUP($B40,board!$A:$S,2,FALSE), ""))</f>
        <v>C</v>
      </c>
      <c r="E40" s="2">
        <f>IFERROR(VLOOKUP($B40,board!$A:$S,18,FALSE), "")</f>
        <v>29</v>
      </c>
      <c r="F40" s="2">
        <f>IFERROR(VLOOKUP($B40,board!$A:$S,19,FALSE), "")</f>
        <v>6</v>
      </c>
      <c r="G40" s="2">
        <f t="shared" si="2"/>
        <v>10</v>
      </c>
      <c r="H40" s="12">
        <f>IFERROR((G40+$J$1)/(A40*$I$1), "")</f>
        <v>0.15384615384615385</v>
      </c>
    </row>
    <row r="41" spans="1:8" x14ac:dyDescent="0.2">
      <c r="A41">
        <v>40</v>
      </c>
      <c r="B41" t="s">
        <v>185</v>
      </c>
      <c r="C41" t="s">
        <v>482</v>
      </c>
      <c r="D41" s="2" t="str">
        <f>IF(OR(E41="HM", E41="-"),"", IFERROR(VLOOKUP($B41,board!$A:$S,2,FALSE), ""))</f>
        <v>PG</v>
      </c>
      <c r="E41" s="2">
        <f>IFERROR(VLOOKUP($B41,board!$A:$S,18,FALSE), "")</f>
        <v>14</v>
      </c>
      <c r="F41" s="2">
        <f>IFERROR(VLOOKUP($B41,board!$A:$S,19,FALSE), "")</f>
        <v>5</v>
      </c>
      <c r="G41" s="2">
        <f t="shared" si="2"/>
        <v>26</v>
      </c>
      <c r="H41" s="12">
        <f>IFERROR((G41+$J$1)/(A41*$I$1), "")</f>
        <v>0.35</v>
      </c>
    </row>
    <row r="42" spans="1:8" x14ac:dyDescent="0.2">
      <c r="A42">
        <v>41</v>
      </c>
      <c r="B42" t="s">
        <v>205</v>
      </c>
      <c r="C42" t="s">
        <v>472</v>
      </c>
      <c r="D42" s="2" t="str">
        <f>IF(OR(E42="HM", E42="-"),"", IFERROR(VLOOKUP($B42,board!$A:$S,2,FALSE), ""))</f>
        <v>W</v>
      </c>
      <c r="E42" s="2">
        <f>IFERROR(VLOOKUP($B42,board!$A:$S,18,FALSE), "")</f>
        <v>39</v>
      </c>
      <c r="F42" s="2">
        <f>IFERROR(VLOOKUP($B42,board!$A:$S,19,FALSE), "")</f>
        <v>7</v>
      </c>
      <c r="G42" s="2">
        <f t="shared" si="2"/>
        <v>2</v>
      </c>
      <c r="H42" s="12">
        <f>IFERROR((G42+$J$1)/(A42*$I$1), "")</f>
        <v>4.878048780487805E-2</v>
      </c>
    </row>
    <row r="43" spans="1:8" x14ac:dyDescent="0.2">
      <c r="A43">
        <v>42</v>
      </c>
      <c r="B43" t="s">
        <v>87</v>
      </c>
      <c r="C43" t="s">
        <v>462</v>
      </c>
      <c r="D43" s="2" t="str">
        <f>IF(OR(E43="HM", E43="-"),"", IFERROR(VLOOKUP($B43,board!$A:$S,2,FALSE), ""))</f>
        <v>W-F</v>
      </c>
      <c r="E43" s="2" t="str">
        <f>IFERROR(VLOOKUP($B43,board!$A:$S,18,FALSE), "")</f>
        <v>HM.</v>
      </c>
      <c r="F43" s="2">
        <f>IFERROR(VLOOKUP($B43,board!$A:$S,19,FALSE), "")</f>
        <v>8</v>
      </c>
      <c r="G43" s="2" t="str">
        <f t="shared" si="2"/>
        <v/>
      </c>
      <c r="H43" s="12" t="str">
        <f t="shared" ref="H43:H48" si="3">IFERROR((G43*$J$1)/(A43*$I$1), "")</f>
        <v/>
      </c>
    </row>
    <row r="44" spans="1:8" x14ac:dyDescent="0.2">
      <c r="A44">
        <v>43</v>
      </c>
      <c r="B44" t="s">
        <v>172</v>
      </c>
      <c r="C44" t="s">
        <v>485</v>
      </c>
      <c r="D44" s="2" t="str">
        <f>IF(OR(E44="HM", E44="-"),"", IFERROR(VLOOKUP($B44,board!$A:$S,2,FALSE), ""))</f>
        <v>F</v>
      </c>
      <c r="E44" s="2" t="str">
        <f>IFERROR(VLOOKUP($B44,board!$A:$S,18,FALSE), "")</f>
        <v>HM.</v>
      </c>
      <c r="F44" s="2">
        <f>IFERROR(VLOOKUP($B44,board!$A:$S,19,FALSE), "")</f>
        <v>8</v>
      </c>
      <c r="G44" s="2" t="str">
        <f t="shared" si="2"/>
        <v/>
      </c>
      <c r="H44" s="12" t="str">
        <f t="shared" si="3"/>
        <v/>
      </c>
    </row>
    <row r="45" spans="1:8" x14ac:dyDescent="0.2">
      <c r="A45">
        <v>44</v>
      </c>
      <c r="B45" t="s">
        <v>203</v>
      </c>
      <c r="C45" t="s">
        <v>479</v>
      </c>
      <c r="D45" s="2" t="str">
        <f>IF(OR(E45="HM", E45="-"),"", IFERROR(VLOOKUP($B45,board!$A:$S,2,FALSE), ""))</f>
        <v>W-F</v>
      </c>
      <c r="E45" s="2" t="str">
        <f>IFERROR(VLOOKUP($B45,board!$A:$S,18,FALSE), "")</f>
        <v>HM.</v>
      </c>
      <c r="F45" s="2">
        <f>IFERROR(VLOOKUP($B45,board!$A:$S,19,FALSE), "")</f>
        <v>8</v>
      </c>
      <c r="G45" s="2" t="str">
        <f t="shared" si="2"/>
        <v/>
      </c>
      <c r="H45" s="12" t="str">
        <f t="shared" si="3"/>
        <v/>
      </c>
    </row>
    <row r="46" spans="1:8" x14ac:dyDescent="0.2">
      <c r="A46">
        <v>45</v>
      </c>
      <c r="B46" t="s">
        <v>233</v>
      </c>
      <c r="C46" t="s">
        <v>486</v>
      </c>
      <c r="D46" s="2" t="str">
        <f>IF(OR(E46="HM", E46="-"),"", IFERROR(VLOOKUP($B46,board!$A:$S,2,FALSE), ""))</f>
        <v>G</v>
      </c>
      <c r="E46" s="2" t="str">
        <f>IFERROR(VLOOKUP($B46,board!$A:$S,18,FALSE), "")</f>
        <v>HM.</v>
      </c>
      <c r="F46" s="2">
        <f>IFERROR(VLOOKUP($B46,board!$A:$S,19,FALSE), "")</f>
        <v>8</v>
      </c>
      <c r="G46" s="2" t="str">
        <f t="shared" si="2"/>
        <v/>
      </c>
      <c r="H46" s="12" t="str">
        <f t="shared" si="3"/>
        <v/>
      </c>
    </row>
    <row r="47" spans="1:8" x14ac:dyDescent="0.2">
      <c r="A47">
        <v>46</v>
      </c>
      <c r="B47" t="s">
        <v>487</v>
      </c>
      <c r="C47" t="s">
        <v>465</v>
      </c>
      <c r="D47" s="2" t="str">
        <f>IF(OR(E47="HM", E47="-"),"", IFERROR(VLOOKUP($B47,board!$A:$S,2,FALSE), ""))</f>
        <v/>
      </c>
      <c r="E47" s="2" t="str">
        <f>IFERROR(VLOOKUP($B47,board!$A:$S,18,FALSE), "")</f>
        <v/>
      </c>
      <c r="F47" s="2" t="str">
        <f>IFERROR(VLOOKUP($B47,board!$A:$S,19,FALSE), "")</f>
        <v/>
      </c>
      <c r="G47" s="2" t="str">
        <f t="shared" si="2"/>
        <v/>
      </c>
      <c r="H47" s="12" t="str">
        <f t="shared" si="3"/>
        <v/>
      </c>
    </row>
    <row r="48" spans="1:8" x14ac:dyDescent="0.2">
      <c r="A48">
        <v>47</v>
      </c>
      <c r="B48" t="s">
        <v>117</v>
      </c>
      <c r="C48" t="s">
        <v>465</v>
      </c>
      <c r="D48" s="2" t="str">
        <f>IF(OR(E48="HM", E48="-"),"", IFERROR(VLOOKUP($B48,board!$A:$S,2,FALSE), ""))</f>
        <v>G</v>
      </c>
      <c r="E48" s="2" t="str">
        <f>IFERROR(VLOOKUP($B48,board!$A:$S,18,FALSE), "")</f>
        <v>HM.</v>
      </c>
      <c r="F48" s="2">
        <f>IFERROR(VLOOKUP($B48,board!$A:$S,19,FALSE), "")</f>
        <v>8</v>
      </c>
      <c r="G48" s="2" t="str">
        <f t="shared" si="2"/>
        <v/>
      </c>
      <c r="H48" s="12" t="str">
        <f t="shared" si="3"/>
        <v/>
      </c>
    </row>
    <row r="49" spans="1:8" x14ac:dyDescent="0.2">
      <c r="A49">
        <v>48</v>
      </c>
      <c r="B49" t="s">
        <v>208</v>
      </c>
      <c r="C49" t="s">
        <v>475</v>
      </c>
      <c r="D49" s="2" t="str">
        <f>IF(OR(E49="HM", E49="-"),"", IFERROR(VLOOKUP($B49,board!$A:$S,2,FALSE), ""))</f>
        <v>PG</v>
      </c>
      <c r="E49" s="2">
        <f>IFERROR(VLOOKUP($B49,board!$A:$S,18,FALSE), "")</f>
        <v>26</v>
      </c>
      <c r="F49" s="2">
        <f>IFERROR(VLOOKUP($B49,board!$A:$S,19,FALSE), "")</f>
        <v>6</v>
      </c>
      <c r="G49" s="2">
        <f t="shared" si="2"/>
        <v>22</v>
      </c>
      <c r="H49" s="12">
        <f>IFERROR((G49+$J$1)/(A49*$I$1), "")</f>
        <v>0.25</v>
      </c>
    </row>
    <row r="50" spans="1:8" x14ac:dyDescent="0.2">
      <c r="A50">
        <v>49</v>
      </c>
      <c r="B50" t="s">
        <v>121</v>
      </c>
      <c r="C50" t="s">
        <v>479</v>
      </c>
      <c r="D50" s="2" t="str">
        <f>IF(OR(E50="HM", E50="-"),"", IFERROR(VLOOKUP($B50,board!$A:$S,2,FALSE), ""))</f>
        <v>PG</v>
      </c>
      <c r="E50" s="2" t="str">
        <f>IFERROR(VLOOKUP($B50,board!$A:$S,18,FALSE), "")</f>
        <v>HM.</v>
      </c>
      <c r="F50" s="2">
        <f>IFERROR(VLOOKUP($B50,board!$A:$S,19,FALSE), "")</f>
        <v>8</v>
      </c>
      <c r="G50" s="2" t="str">
        <f t="shared" si="2"/>
        <v/>
      </c>
      <c r="H50" s="12" t="str">
        <f>IFERROR((G50*$J$1)/(A50*$I$1), "")</f>
        <v/>
      </c>
    </row>
    <row r="51" spans="1:8" x14ac:dyDescent="0.2">
      <c r="A51">
        <v>50</v>
      </c>
      <c r="B51" t="s">
        <v>239</v>
      </c>
      <c r="C51" t="s">
        <v>480</v>
      </c>
      <c r="D51" s="2" t="str">
        <f>IF(OR(E51="HM", E51="-"),"", IFERROR(VLOOKUP($B51,board!$A:$S,2,FALSE), ""))</f>
        <v>C</v>
      </c>
      <c r="E51" s="2" t="str">
        <f>IFERROR(VLOOKUP($B51,board!$A:$S,18,FALSE), "")</f>
        <v>HM.</v>
      </c>
      <c r="F51" s="2">
        <f>IFERROR(VLOOKUP($B51,board!$A:$S,19,FALSE), "")</f>
        <v>8</v>
      </c>
      <c r="G51" s="2" t="str">
        <f t="shared" si="2"/>
        <v/>
      </c>
      <c r="H51" s="12" t="str">
        <f>IFERROR((G51*$J$1)/(A51*$I$1), "")</f>
        <v/>
      </c>
    </row>
    <row r="52" spans="1:8" x14ac:dyDescent="0.2">
      <c r="A52">
        <v>51</v>
      </c>
      <c r="B52" t="s">
        <v>153</v>
      </c>
      <c r="C52" t="s">
        <v>476</v>
      </c>
      <c r="D52" s="2" t="str">
        <f>IF(OR(E52="HM", E52="-"),"", IFERROR(VLOOKUP($B52,board!$A:$S,2,FALSE), ""))</f>
        <v>W</v>
      </c>
      <c r="E52" s="2">
        <f>IFERROR(VLOOKUP($B52,board!$A:$S,18,FALSE), "")</f>
        <v>16</v>
      </c>
      <c r="F52" s="2">
        <f>IFERROR(VLOOKUP($B52,board!$A:$S,19,FALSE), "")</f>
        <v>5</v>
      </c>
      <c r="G52" s="2">
        <f t="shared" si="2"/>
        <v>35</v>
      </c>
      <c r="H52" s="12">
        <f>IFERROR((G52+$J$1)/(A52*$I$1), "")</f>
        <v>0.36274509803921567</v>
      </c>
    </row>
    <row r="53" spans="1:8" x14ac:dyDescent="0.2">
      <c r="A53">
        <v>52</v>
      </c>
      <c r="B53" t="s">
        <v>75</v>
      </c>
      <c r="C53" t="s">
        <v>462</v>
      </c>
      <c r="D53" s="2" t="str">
        <f>IF(OR(E53="HM", E53="-"),"", IFERROR(VLOOKUP($B53,board!$A:$S,2,FALSE), ""))</f>
        <v>C</v>
      </c>
      <c r="E53" s="2" t="str">
        <f>IFERROR(VLOOKUP($B53,board!$A:$S,18,FALSE), "")</f>
        <v>HM.</v>
      </c>
      <c r="F53" s="2">
        <f>IFERROR(VLOOKUP($B53,board!$A:$S,19,FALSE), "")</f>
        <v>8</v>
      </c>
      <c r="G53" s="2" t="str">
        <f t="shared" si="2"/>
        <v/>
      </c>
      <c r="H53" s="12" t="str">
        <f t="shared" ref="H53:H61" si="4">IFERROR((G53*$J$1)/(A53*$I$1), "")</f>
        <v/>
      </c>
    </row>
    <row r="54" spans="1:8" x14ac:dyDescent="0.2">
      <c r="A54">
        <v>53</v>
      </c>
      <c r="B54" t="s">
        <v>158</v>
      </c>
      <c r="C54" t="s">
        <v>480</v>
      </c>
      <c r="D54" s="2" t="str">
        <f>IF(OR(E54="HM", E54="-"),"", IFERROR(VLOOKUP($B54,board!$A:$S,2,FALSE), ""))</f>
        <v>C</v>
      </c>
      <c r="E54" s="2" t="str">
        <f>IFERROR(VLOOKUP($B54,board!$A:$S,18,FALSE), "")</f>
        <v>HM.</v>
      </c>
      <c r="F54" s="2">
        <f>IFERROR(VLOOKUP($B54,board!$A:$S,19,FALSE), "")</f>
        <v>8</v>
      </c>
      <c r="G54" s="2" t="str">
        <f t="shared" si="2"/>
        <v/>
      </c>
      <c r="H54" s="12" t="str">
        <f t="shared" si="4"/>
        <v/>
      </c>
    </row>
    <row r="55" spans="1:8" x14ac:dyDescent="0.2">
      <c r="A55">
        <v>54</v>
      </c>
      <c r="B55" t="s">
        <v>107</v>
      </c>
      <c r="C55" t="s">
        <v>488</v>
      </c>
      <c r="D55" s="2" t="str">
        <f>IF(OR(E55="HM", E55="-"),"", IFERROR(VLOOKUP($B55,board!$A:$S,2,FALSE), ""))</f>
        <v>C</v>
      </c>
      <c r="E55" s="2" t="str">
        <f>IFERROR(VLOOKUP($B55,board!$A:$S,18,FALSE), "")</f>
        <v>HM.</v>
      </c>
      <c r="F55" s="2">
        <f>IFERROR(VLOOKUP($B55,board!$A:$S,19,FALSE), "")</f>
        <v>8</v>
      </c>
      <c r="G55" s="2" t="str">
        <f t="shared" si="2"/>
        <v/>
      </c>
      <c r="H55" s="12" t="str">
        <f t="shared" si="4"/>
        <v/>
      </c>
    </row>
    <row r="56" spans="1:8" x14ac:dyDescent="0.2">
      <c r="A56">
        <v>55</v>
      </c>
      <c r="B56" t="s">
        <v>187</v>
      </c>
      <c r="C56" t="s">
        <v>467</v>
      </c>
      <c r="D56" s="2" t="str">
        <f>IF(OR(E56="HM", E56="-"),"", IFERROR(VLOOKUP($B56,board!$A:$S,2,FALSE), ""))</f>
        <v>W</v>
      </c>
      <c r="E56" s="2" t="str">
        <f>IFERROR(VLOOKUP($B56,board!$A:$S,18,FALSE), "")</f>
        <v>HM.</v>
      </c>
      <c r="F56" s="2">
        <f>IFERROR(VLOOKUP($B56,board!$A:$S,19,FALSE), "")</f>
        <v>8</v>
      </c>
      <c r="G56" s="2" t="str">
        <f t="shared" si="2"/>
        <v/>
      </c>
      <c r="H56" s="12" t="str">
        <f t="shared" si="4"/>
        <v/>
      </c>
    </row>
    <row r="57" spans="1:8" x14ac:dyDescent="0.2">
      <c r="A57">
        <v>56</v>
      </c>
      <c r="B57" t="s">
        <v>195</v>
      </c>
      <c r="C57" t="s">
        <v>471</v>
      </c>
      <c r="D57" s="2" t="str">
        <f>IF(OR(E57="HM", E57="-"),"", IFERROR(VLOOKUP($B57,board!$A:$S,2,FALSE), ""))</f>
        <v>W</v>
      </c>
      <c r="E57" s="2" t="str">
        <f>IFERROR(VLOOKUP($B57,board!$A:$S,18,FALSE), "")</f>
        <v>HM.</v>
      </c>
      <c r="F57" s="2">
        <f>IFERROR(VLOOKUP($B57,board!$A:$S,19,FALSE), "")</f>
        <v>8</v>
      </c>
      <c r="G57" s="2" t="str">
        <f t="shared" si="2"/>
        <v/>
      </c>
      <c r="H57" s="12" t="str">
        <f t="shared" si="4"/>
        <v/>
      </c>
    </row>
    <row r="58" spans="1:8" x14ac:dyDescent="0.2">
      <c r="A58">
        <v>57</v>
      </c>
      <c r="B58" t="s">
        <v>234</v>
      </c>
      <c r="C58" t="s">
        <v>462</v>
      </c>
      <c r="D58" s="2" t="str">
        <f>IF(OR(E58="HM", E58="-"),"", IFERROR(VLOOKUP($B58,board!$A:$S,2,FALSE), ""))</f>
        <v>C</v>
      </c>
      <c r="E58" s="2" t="str">
        <f>IFERROR(VLOOKUP($B58,board!$A:$S,18,FALSE), "")</f>
        <v>HM.</v>
      </c>
      <c r="F58" s="2">
        <f>IFERROR(VLOOKUP($B58,board!$A:$S,19,FALSE), "")</f>
        <v>8</v>
      </c>
      <c r="G58" s="2" t="str">
        <f t="shared" si="2"/>
        <v/>
      </c>
      <c r="H58" s="12" t="str">
        <f t="shared" si="4"/>
        <v/>
      </c>
    </row>
    <row r="59" spans="1:8" x14ac:dyDescent="0.2">
      <c r="A59">
        <v>58</v>
      </c>
      <c r="B59" t="s">
        <v>489</v>
      </c>
      <c r="C59" t="s">
        <v>477</v>
      </c>
      <c r="D59" s="2" t="str">
        <f>IF(OR(E59="HM", E59="-"),"", IFERROR(VLOOKUP($B59,board!$A:$S,2,FALSE), ""))</f>
        <v/>
      </c>
      <c r="E59" s="2" t="str">
        <f>IFERROR(VLOOKUP($B59,board!$A:$S,18,FALSE), "")</f>
        <v/>
      </c>
      <c r="F59" s="2" t="str">
        <f>IFERROR(VLOOKUP($B59,board!$A:$S,19,FALSE), "")</f>
        <v/>
      </c>
      <c r="G59" s="2" t="str">
        <f t="shared" si="2"/>
        <v/>
      </c>
      <c r="H59" s="12" t="str">
        <f t="shared" si="4"/>
        <v/>
      </c>
    </row>
    <row r="60" spans="1:8" x14ac:dyDescent="0.2">
      <c r="A60">
        <v>59</v>
      </c>
      <c r="B60" t="s">
        <v>490</v>
      </c>
      <c r="C60" t="s">
        <v>479</v>
      </c>
      <c r="D60" s="2" t="str">
        <f>IF(OR(E60="HM", E60="-"),"", IFERROR(VLOOKUP($B60,board!$A:$S,2,FALSE), ""))</f>
        <v/>
      </c>
      <c r="E60" s="2" t="str">
        <f>IFERROR(VLOOKUP($B60,board!$A:$S,18,FALSE), "")</f>
        <v/>
      </c>
      <c r="F60" s="2" t="str">
        <f>IFERROR(VLOOKUP($B60,board!$A:$S,19,FALSE), "")</f>
        <v/>
      </c>
      <c r="G60" s="2" t="str">
        <f t="shared" si="2"/>
        <v/>
      </c>
      <c r="H60" s="12" t="str">
        <f t="shared" si="4"/>
        <v/>
      </c>
    </row>
    <row r="61" spans="1:8" x14ac:dyDescent="0.2">
      <c r="A61">
        <v>60</v>
      </c>
      <c r="B61" t="s">
        <v>491</v>
      </c>
      <c r="C61" t="s">
        <v>473</v>
      </c>
      <c r="D61" s="2" t="str">
        <f>IF(OR(E61="HM", E61="-"),"", IFERROR(VLOOKUP($B61,board!$A:$S,2,FALSE), ""))</f>
        <v/>
      </c>
      <c r="E61" s="2" t="str">
        <f>IFERROR(VLOOKUP($B61,board!$A:$S,18,FALSE), "")</f>
        <v/>
      </c>
      <c r="F61" s="2" t="str">
        <f>IFERROR(VLOOKUP($B61,board!$A:$S,19,FALSE), "")</f>
        <v/>
      </c>
      <c r="G61" s="2" t="str">
        <f t="shared" si="2"/>
        <v/>
      </c>
      <c r="H61" s="12" t="str">
        <f t="shared" si="4"/>
        <v/>
      </c>
    </row>
  </sheetData>
  <autoFilter ref="A1:H61" xr:uid="{3E38746A-E939-E743-968A-B5038E272255}">
    <sortState ref="A2:H61">
      <sortCondition ref="A1:A6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board</vt:lpstr>
      <vt:lpstr>measureables</vt:lpstr>
      <vt:lpstr>actual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2019-06-19T17:04:52Z</dcterms:created>
  <dcterms:modified xsi:type="dcterms:W3CDTF">2022-06-21T01:01:19Z</dcterms:modified>
</cp:coreProperties>
</file>