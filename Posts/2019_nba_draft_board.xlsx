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autoCompressPictures="0"/>
  <bookViews>
    <workbookView xWindow="-20" yWindow="-20" windowWidth="20900" windowHeight="14720"/>
  </bookViews>
  <sheets>
    <sheet name="board" sheetId="1" r:id="rId1"/>
    <sheet name="nba.com measureables" sheetId="2" r:id="rId2"/>
  </sheets>
  <definedNames>
    <definedName name="_xlnm._FilterDatabase" localSheetId="0" hidden="1">board!$A$1:$S$1</definedName>
    <definedName name="_xlnm._FilterDatabase" localSheetId="1" hidden="1">'nba.com measureables'!$A$1:$J$1</definedName>
  </definedNames>
  <calcPr calcId="130407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E39" i="1"/>
  <c r="Q39"/>
  <c r="F39"/>
  <c r="R39"/>
  <c r="G39"/>
  <c r="I39"/>
  <c r="S39"/>
  <c r="H39"/>
  <c r="S34"/>
  <c r="R34"/>
  <c r="S35"/>
  <c r="R35"/>
  <c r="S42"/>
  <c r="R42"/>
  <c r="S10"/>
  <c r="R10"/>
  <c r="S32"/>
  <c r="R32"/>
  <c r="S29"/>
  <c r="H29"/>
  <c r="R29"/>
  <c r="G29"/>
  <c r="S28"/>
  <c r="R28"/>
  <c r="G28"/>
  <c r="S30"/>
  <c r="R30"/>
  <c r="S7"/>
  <c r="R7"/>
  <c r="S14"/>
  <c r="R14"/>
  <c r="S40"/>
  <c r="H40"/>
  <c r="R40"/>
  <c r="G40"/>
  <c r="S13"/>
  <c r="H13"/>
  <c r="R13"/>
  <c r="G13"/>
  <c r="S38"/>
  <c r="R38"/>
  <c r="S11"/>
  <c r="R11"/>
  <c r="S33"/>
  <c r="R33"/>
  <c r="S24"/>
  <c r="R24"/>
  <c r="S26"/>
  <c r="R26"/>
  <c r="S41"/>
  <c r="R41"/>
  <c r="S37"/>
  <c r="R37"/>
  <c r="S36"/>
  <c r="R36"/>
  <c r="S27"/>
  <c r="R27"/>
  <c r="S31"/>
  <c r="R31"/>
  <c r="S20"/>
  <c r="H20"/>
  <c r="R20"/>
  <c r="S15"/>
  <c r="R15"/>
  <c r="S9"/>
  <c r="R9"/>
  <c r="S19"/>
  <c r="R19"/>
  <c r="S16"/>
  <c r="R16"/>
  <c r="G16"/>
  <c r="S18"/>
  <c r="R18"/>
  <c r="S5"/>
  <c r="H5"/>
  <c r="R5"/>
  <c r="G5"/>
  <c r="S21"/>
  <c r="R21"/>
  <c r="G21"/>
  <c r="S17"/>
  <c r="R17"/>
  <c r="S25"/>
  <c r="R25"/>
  <c r="S12"/>
  <c r="R12"/>
  <c r="S6"/>
  <c r="R6"/>
  <c r="S23"/>
  <c r="R23"/>
  <c r="S8"/>
  <c r="R8"/>
  <c r="S22"/>
  <c r="R22"/>
  <c r="S4"/>
  <c r="H4"/>
  <c r="R4"/>
  <c r="G4"/>
  <c r="S3"/>
  <c r="H3"/>
  <c r="R3"/>
  <c r="G3"/>
  <c r="S2"/>
  <c r="H2"/>
  <c r="R2"/>
  <c r="G2"/>
  <c r="Q2"/>
  <c r="F2"/>
  <c r="I2"/>
  <c r="Q34"/>
  <c r="Q35"/>
  <c r="Q42"/>
  <c r="Q10"/>
  <c r="Q32"/>
  <c r="Q29"/>
  <c r="Q28"/>
  <c r="Q30"/>
  <c r="Q7"/>
  <c r="Q14"/>
  <c r="Q40"/>
  <c r="F40"/>
  <c r="Q13"/>
  <c r="Q38"/>
  <c r="F38"/>
  <c r="Q11"/>
  <c r="Q33"/>
  <c r="Q24"/>
  <c r="Q26"/>
  <c r="Q41"/>
  <c r="Q37"/>
  <c r="Q36"/>
  <c r="Q27"/>
  <c r="F27"/>
  <c r="Q31"/>
  <c r="F31"/>
  <c r="Q20"/>
  <c r="Q15"/>
  <c r="F15"/>
  <c r="Q9"/>
  <c r="Q19"/>
  <c r="Q16"/>
  <c r="Q18"/>
  <c r="Q5"/>
  <c r="Q21"/>
  <c r="Q17"/>
  <c r="Q25"/>
  <c r="Q12"/>
  <c r="Q6"/>
  <c r="Q23"/>
  <c r="Q8"/>
  <c r="F8"/>
  <c r="Q22"/>
  <c r="F22"/>
  <c r="Q4"/>
  <c r="Q3"/>
  <c r="F3"/>
  <c r="E29"/>
  <c r="E2"/>
  <c r="E19"/>
  <c r="E24"/>
  <c r="E7"/>
  <c r="E42"/>
  <c r="E25"/>
  <c r="E27"/>
  <c r="E22"/>
  <c r="E4"/>
  <c r="E9"/>
  <c r="E13"/>
  <c r="E20"/>
  <c r="E21"/>
  <c r="E41"/>
  <c r="E40"/>
  <c r="E38"/>
  <c r="E26"/>
  <c r="E37"/>
  <c r="E36"/>
  <c r="E10"/>
  <c r="E35"/>
  <c r="E5"/>
  <c r="E6"/>
  <c r="E3"/>
  <c r="E34"/>
  <c r="E11"/>
  <c r="E15"/>
  <c r="E23"/>
  <c r="E8"/>
  <c r="E33"/>
  <c r="E32"/>
  <c r="E17"/>
  <c r="E14"/>
  <c r="E28"/>
  <c r="E31"/>
  <c r="E12"/>
  <c r="E30"/>
  <c r="E18"/>
  <c r="E16"/>
  <c r="I3"/>
  <c r="I40"/>
  <c r="F33"/>
  <c r="G31"/>
  <c r="I31"/>
  <c r="F4"/>
  <c r="I4"/>
  <c r="F11"/>
  <c r="F42"/>
  <c r="H21"/>
  <c r="G22"/>
  <c r="I22"/>
  <c r="H8"/>
  <c r="G6"/>
  <c r="G18"/>
  <c r="H6"/>
  <c r="F36"/>
  <c r="H16"/>
  <c r="F17"/>
  <c r="F6"/>
  <c r="G24"/>
  <c r="F12"/>
  <c r="H18"/>
  <c r="F25"/>
  <c r="F21"/>
  <c r="I21"/>
  <c r="G25"/>
  <c r="G17"/>
  <c r="G9"/>
  <c r="G38"/>
  <c r="I38"/>
  <c r="G30"/>
  <c r="F16"/>
  <c r="H9"/>
  <c r="H37"/>
  <c r="H38"/>
  <c r="H30"/>
  <c r="G8"/>
  <c r="I8"/>
  <c r="H15"/>
  <c r="H26"/>
  <c r="F14"/>
  <c r="F7"/>
  <c r="G12"/>
  <c r="H31"/>
  <c r="H24"/>
  <c r="G32"/>
  <c r="F32"/>
  <c r="I32"/>
  <c r="F37"/>
  <c r="F30"/>
  <c r="H12"/>
  <c r="G27"/>
  <c r="I27"/>
  <c r="H32"/>
  <c r="F41"/>
  <c r="F28"/>
  <c r="I28"/>
  <c r="H27"/>
  <c r="G33"/>
  <c r="G14"/>
  <c r="G10"/>
  <c r="F5"/>
  <c r="I5"/>
  <c r="F26"/>
  <c r="F29"/>
  <c r="I29"/>
  <c r="H25"/>
  <c r="G19"/>
  <c r="G36"/>
  <c r="H33"/>
  <c r="H14"/>
  <c r="H10"/>
  <c r="F18"/>
  <c r="F24"/>
  <c r="H19"/>
  <c r="H36"/>
  <c r="G11"/>
  <c r="G7"/>
  <c r="G42"/>
  <c r="I42"/>
  <c r="F10"/>
  <c r="H22"/>
  <c r="H17"/>
  <c r="G37"/>
  <c r="H11"/>
  <c r="H7"/>
  <c r="H42"/>
  <c r="F19"/>
  <c r="G35"/>
  <c r="F9"/>
  <c r="F35"/>
  <c r="G15"/>
  <c r="I15"/>
  <c r="G41"/>
  <c r="H35"/>
  <c r="F34"/>
  <c r="G23"/>
  <c r="H41"/>
  <c r="G34"/>
  <c r="F23"/>
  <c r="F20"/>
  <c r="T31"/>
  <c r="F13"/>
  <c r="H23"/>
  <c r="G20"/>
  <c r="G26"/>
  <c r="H28"/>
  <c r="H34"/>
  <c r="T28"/>
  <c r="I18"/>
  <c r="T18"/>
  <c r="T8"/>
  <c r="I34"/>
  <c r="T34"/>
  <c r="T42"/>
  <c r="I16"/>
  <c r="T16"/>
  <c r="I26"/>
  <c r="T26"/>
  <c r="I19"/>
  <c r="I20"/>
  <c r="T4"/>
  <c r="I25"/>
  <c r="T25"/>
  <c r="I11"/>
  <c r="T11"/>
  <c r="T38"/>
  <c r="T27"/>
  <c r="I6"/>
  <c r="T6"/>
  <c r="T32"/>
  <c r="T22"/>
  <c r="T5"/>
  <c r="T39"/>
  <c r="T2"/>
  <c r="I33"/>
  <c r="I12"/>
  <c r="I23"/>
  <c r="I37"/>
  <c r="I9"/>
  <c r="T33"/>
  <c r="I36"/>
  <c r="T36"/>
  <c r="I17"/>
  <c r="I10"/>
  <c r="T10"/>
  <c r="T15"/>
  <c r="T20"/>
  <c r="I41"/>
  <c r="T29"/>
  <c r="T3"/>
  <c r="I13"/>
  <c r="T13"/>
  <c r="I35"/>
  <c r="T21"/>
  <c r="I24"/>
  <c r="T40"/>
  <c r="I7"/>
  <c r="T7"/>
  <c r="I14"/>
  <c r="T9"/>
  <c r="I30"/>
  <c r="T30"/>
  <c r="T41"/>
  <c r="T23"/>
  <c r="T12"/>
  <c r="T17"/>
  <c r="T14"/>
  <c r="T35"/>
  <c r="T19"/>
  <c r="T37"/>
  <c r="T24"/>
</calcChain>
</file>

<file path=xl/sharedStrings.xml><?xml version="1.0" encoding="utf-8"?>
<sst xmlns="http://schemas.openxmlformats.org/spreadsheetml/2006/main" count="706" uniqueCount="299">
  <si>
    <t>https://www.sports-reference.com/cbb/players/rui-hachimura-1.html</t>
  </si>
  <si>
    <t>https://www.sports-reference.com/cbb/players/carsen-edwards-1.html</t>
  </si>
  <si>
    <t>https://www.sports-reference.com/cbb/players/cameron-johnson-4.html</t>
  </si>
  <si>
    <t>https://www.sports-reference.com/cbb/players/keldon-johnson-1.html</t>
  </si>
  <si>
    <t>https://www.sports-reference.com/cbb/players/kevin-porterjr-1.html</t>
  </si>
  <si>
    <t>https://www.sports-reference.com/cbb/players/mfiondu-kabengele-1.html</t>
  </si>
  <si>
    <t>https://en.wikipedia.org/wiki/Darius_Bazley</t>
  </si>
  <si>
    <t>https://www.sports-reference.com/cbb/players/luguentz-dort-1.html</t>
  </si>
  <si>
    <t>New Balance</t>
  </si>
  <si>
    <t>https://www.proballers.com/basket-ball-player/70813/luka-samanic</t>
  </si>
  <si>
    <t>Petrol Olimpjia (Premier A Slovenian League)</t>
  </si>
  <si>
    <t>https://www.sports-reference.com/cbb/players/matisse-thybulle-1.html</t>
  </si>
  <si>
    <t>https://www.sports-reference.com/cbb/players/bruno-fernando-1.html</t>
  </si>
  <si>
    <t>https://www.sports-reference.com/cbb/players/admiral-schofield-1.html</t>
  </si>
  <si>
    <t>https://www.sports-reference.com/cbb/players/daniel-gafford-1.html</t>
  </si>
  <si>
    <t>https://www.sports-reference.com/cbb/players/shamorie-ponds-1.html</t>
  </si>
  <si>
    <t>https://www.sports-reference.com/cbb/players/john-konchar-1.html</t>
  </si>
  <si>
    <t>https://www.sports-reference.com/cbb/players/ignas-brazdeikis-1.html</t>
  </si>
  <si>
    <t>link</t>
  </si>
  <si>
    <t>wingspan</t>
  </si>
  <si>
    <t>height</t>
  </si>
  <si>
    <t>height (in)</t>
  </si>
  <si>
    <t>wingspan (in)</t>
  </si>
  <si>
    <t>reach</t>
  </si>
  <si>
    <t>reach (in)</t>
  </si>
  <si>
    <t>Ape</t>
  </si>
  <si>
    <t>grade</t>
  </si>
  <si>
    <t>HM</t>
  </si>
  <si>
    <t>https://www.basketball-reference.com/international/players/goga-bitadze-1.html</t>
  </si>
  <si>
    <t>Buducnost VOLI (Montenegrin Basketball League)</t>
  </si>
  <si>
    <t>https://www.sports-reference.com/cbb/players/zion-williamson-1.html</t>
  </si>
  <si>
    <t>https://www.sports-reference.com/cbb/players/temetrius-morant-1.html</t>
  </si>
  <si>
    <t>https://www.sports-reference.com/cbb/players/rj-barrett-1.html</t>
  </si>
  <si>
    <t>https://www.sports-reference.com/cbb/players/jaxson-hayes-1.html</t>
  </si>
  <si>
    <t>https://www.sports-reference.com/cbb/players/jarrett-culver-1.html</t>
  </si>
  <si>
    <t>https://www.sports-reference.com/cbb/players/talen-horton-tucker-1.html</t>
  </si>
  <si>
    <t>https://www.sports-reference.com/cbb/players/darius-garland-1.html</t>
  </si>
  <si>
    <t>https://www.sports-reference.com/cbb/players/pj-washington-1.html</t>
  </si>
  <si>
    <t>https://www.sports-reference.com/cbb/players/jontay-porter-1.html</t>
  </si>
  <si>
    <t>https://www.sports-reference.com/cbb/players/grant-williams-1.html</t>
  </si>
  <si>
    <t>https://www.sports-reference.com/cbb/players/cam-reddish-1.html</t>
  </si>
  <si>
    <t>https://www.sports-reference.com/cbb/players/nicolas-claxton-1.html</t>
  </si>
  <si>
    <t>https://www.sports-reference.com/cbb/players/chuma-okeke-1.html</t>
  </si>
  <si>
    <t>https://www.sports-reference.com/cbb/players/bol-bol-1.html</t>
  </si>
  <si>
    <t>https://www.sports-reference.com/cbb/players/coby-white-1.html</t>
  </si>
  <si>
    <t>https://www.sports-reference.com/cbb/players/brandon-clarke-1.html</t>
  </si>
  <si>
    <t>https://www.sports-reference.com/cbb/players/tyler-herro-1.html</t>
  </si>
  <si>
    <t>https://www.sports-reference.com/cbb/players/nickeil-alexander-walker-1.html</t>
  </si>
  <si>
    <t>https://www.sports-reference.com/cbb/players/nassir-little-1.html</t>
  </si>
  <si>
    <t>https://www.sports-reference.com/cbb/players/romeo-langford-1.html</t>
  </si>
  <si>
    <t>https://www.sports-reference.com/cbb/players/deandre-hunter-1.html</t>
  </si>
  <si>
    <t>https://www.sports-reference.com/cbb/players/ty-jerome-1.html</t>
  </si>
  <si>
    <t>https://www.basketball-reference.com/international/players/sekou-omar-doumbouya-1.html</t>
  </si>
  <si>
    <t>https://www.sports-reference.com/cbb/players/kezie-okpala-1.html</t>
  </si>
  <si>
    <t>6' 3.25''</t>
  </si>
  <si>
    <t>Brian Bowen II</t>
  </si>
  <si>
    <t>6' 6.25''</t>
  </si>
  <si>
    <t>6' 7.5''</t>
  </si>
  <si>
    <t>8' 7''</t>
  </si>
  <si>
    <t>Ky Bowman</t>
  </si>
  <si>
    <t>6' 1''</t>
  </si>
  <si>
    <t>6' 2.25''</t>
  </si>
  <si>
    <t>8' 2''</t>
  </si>
  <si>
    <t>6' 7''</t>
  </si>
  <si>
    <t>6' 5.75''</t>
  </si>
  <si>
    <t>6' 7.25''</t>
  </si>
  <si>
    <t>6' 9.25''</t>
  </si>
  <si>
    <t>O'Shae Brissett</t>
  </si>
  <si>
    <t>SF-PF</t>
  </si>
  <si>
    <t>6' 8''</t>
  </si>
  <si>
    <t>8' 8''</t>
  </si>
  <si>
    <t>Moses Brown</t>
  </si>
  <si>
    <t>7' 1.25''</t>
  </si>
  <si>
    <t>9' 5''</t>
  </si>
  <si>
    <t>7' 4.75''</t>
  </si>
  <si>
    <t>6' 8.25''</t>
  </si>
  <si>
    <t>6' 11.75''</t>
  </si>
  <si>
    <t>9' 2''</t>
  </si>
  <si>
    <t>Tyler Cook</t>
  </si>
  <si>
    <t>8' 10.5''</t>
  </si>
  <si>
    <t>7' 0.5''</t>
  </si>
  <si>
    <t>6' 5.25''</t>
  </si>
  <si>
    <t>6' 6.75''</t>
  </si>
  <si>
    <t>8' 4.5''</t>
  </si>
  <si>
    <t>Terence Davis</t>
  </si>
  <si>
    <t>6' 3''</t>
  </si>
  <si>
    <t>6' 4.5''</t>
  </si>
  <si>
    <t>8' 5''</t>
  </si>
  <si>
    <t>8' 3.5''</t>
  </si>
  <si>
    <t>6' 8.5''</t>
  </si>
  <si>
    <t>Devon Dotson</t>
  </si>
  <si>
    <t>6' 0''</t>
  </si>
  <si>
    <t>6' 2''</t>
  </si>
  <si>
    <t>7' 11.5''</t>
  </si>
  <si>
    <t>5' 10.75''</t>
  </si>
  <si>
    <t>6' 0.25''</t>
  </si>
  <si>
    <t>7' 10.5''</t>
  </si>
  <si>
    <t>6' 6''</t>
  </si>
  <si>
    <t>Tacko Fall</t>
  </si>
  <si>
    <t>7' 5.25''</t>
  </si>
  <si>
    <t>10' 2.5''</t>
  </si>
  <si>
    <t>8' 2.25''</t>
  </si>
  <si>
    <t>6' 10.25''</t>
  </si>
  <si>
    <t>7' 3.25''</t>
  </si>
  <si>
    <t>6' 10.5''</t>
  </si>
  <si>
    <t>7' 2.25''</t>
  </si>
  <si>
    <t>Quentin Grimes</t>
  </si>
  <si>
    <t>6' 4''</t>
  </si>
  <si>
    <t>Kyle Guy</t>
  </si>
  <si>
    <t>6' 0.75''</t>
  </si>
  <si>
    <t>Jaylen Hands</t>
  </si>
  <si>
    <t>8' 1''</t>
  </si>
  <si>
    <t>Jared Harper</t>
  </si>
  <si>
    <t>5' 9.75''</t>
  </si>
  <si>
    <t>5' 11''</t>
  </si>
  <si>
    <t>7' 10''</t>
  </si>
  <si>
    <t>Jaxson Hayes</t>
  </si>
  <si>
    <t>6' 11.5''</t>
  </si>
  <si>
    <t>9' 2.5''</t>
  </si>
  <si>
    <t>Dewan Hernandez</t>
  </si>
  <si>
    <t>7' 1.75''</t>
  </si>
  <si>
    <t>Jalen Hoard</t>
  </si>
  <si>
    <t>8' 9.5''</t>
  </si>
  <si>
    <t>6' 2.5''</t>
  </si>
  <si>
    <t>DaQuan Jeffries</t>
  </si>
  <si>
    <t>6' 5''</t>
  </si>
  <si>
    <t>6' 11.25''</t>
  </si>
  <si>
    <t>6' 4.75''</t>
  </si>
  <si>
    <t>7' 3''</t>
  </si>
  <si>
    <t>Louis King</t>
  </si>
  <si>
    <t>8' 8.5''</t>
  </si>
  <si>
    <t>7' 0.25''</t>
  </si>
  <si>
    <t>6' 11''</t>
  </si>
  <si>
    <t>Dedric Lawson</t>
  </si>
  <si>
    <t>8' 11.5''</t>
  </si>
  <si>
    <t>Jalen Lecque</t>
  </si>
  <si>
    <t>8' 2.5''</t>
  </si>
  <si>
    <t>Terance Mann</t>
  </si>
  <si>
    <t>SG-SF</t>
  </si>
  <si>
    <t>6' 6.5''</t>
  </si>
  <si>
    <t>Cody Martin</t>
  </si>
  <si>
    <t>PG-SG</t>
  </si>
  <si>
    <t>8' 6.5''</t>
  </si>
  <si>
    <t>Charles Matthews</t>
  </si>
  <si>
    <t>Jalen McDaniels</t>
  </si>
  <si>
    <t>6' 9.75''</t>
  </si>
  <si>
    <t>Zach Norvell Jr.</t>
  </si>
  <si>
    <t>Jaylen Nowell</t>
  </si>
  <si>
    <t>Jordan Nwora</t>
  </si>
  <si>
    <t>Miye Oni</t>
  </si>
  <si>
    <t>6' 10.75''</t>
  </si>
  <si>
    <t>Eric Paschall</t>
  </si>
  <si>
    <t>8' 7.5''</t>
  </si>
  <si>
    <t>Reggie Perry</t>
  </si>
  <si>
    <t>8' 10''</t>
  </si>
  <si>
    <t>5' 11.5''</t>
  </si>
  <si>
    <t>6' 0.5''</t>
  </si>
  <si>
    <t>8' 0.5''</t>
  </si>
  <si>
    <t>6' 3.5''</t>
  </si>
  <si>
    <t>Jordan Poole</t>
  </si>
  <si>
    <t>Neemias Queta</t>
  </si>
  <si>
    <t>9' 3.5''</t>
  </si>
  <si>
    <t>7' 4.25''</t>
  </si>
  <si>
    <t>Naz Reid</t>
  </si>
  <si>
    <t>9' 1''</t>
  </si>
  <si>
    <t>Isaiah Roby</t>
  </si>
  <si>
    <t>7' 1''</t>
  </si>
  <si>
    <t>Marial Shayok</t>
  </si>
  <si>
    <t>Simisola Shittu</t>
  </si>
  <si>
    <t>Killian Tillie</t>
  </si>
  <si>
    <t>Tremont Waters</t>
  </si>
  <si>
    <t>5' 9.5''</t>
  </si>
  <si>
    <t>7' 9.5''</t>
  </si>
  <si>
    <t>Quinndary Weatherspoon</t>
  </si>
  <si>
    <t>8' 4''</t>
  </si>
  <si>
    <t>8' 1.5''</t>
  </si>
  <si>
    <t>Kris Wilkes</t>
  </si>
  <si>
    <t>Dylan Windler</t>
  </si>
  <si>
    <t>PJ Washington</t>
  </si>
  <si>
    <t>Jontay Porter</t>
  </si>
  <si>
    <t>Ty Jerome</t>
  </si>
  <si>
    <t>Bol Bol</t>
  </si>
  <si>
    <t>Grant Williams</t>
  </si>
  <si>
    <t>Goga Bitadze</t>
  </si>
  <si>
    <t>Zion Williamson</t>
  </si>
  <si>
    <t>Jarrett Culver</t>
  </si>
  <si>
    <t>Darius Garland</t>
  </si>
  <si>
    <t>Ja Morant</t>
  </si>
  <si>
    <t>Chuma Okeke</t>
  </si>
  <si>
    <t>Nicolas Claxton</t>
  </si>
  <si>
    <t>name</t>
  </si>
  <si>
    <t>Dean</t>
  </si>
  <si>
    <t>zamir</t>
  </si>
  <si>
    <t>espn</t>
  </si>
  <si>
    <t>me</t>
  </si>
  <si>
    <t>Brandon Clarke</t>
  </si>
  <si>
    <t>Cam Reddish</t>
  </si>
  <si>
    <t>Coby White</t>
  </si>
  <si>
    <t>Tyler Herro</t>
  </si>
  <si>
    <t>Nickeil Alexander-Walker</t>
  </si>
  <si>
    <t>Sekou Doumbouya</t>
  </si>
  <si>
    <t>Romeo Langford</t>
  </si>
  <si>
    <t>Bruno Fernando</t>
  </si>
  <si>
    <t>Nassir Little</t>
  </si>
  <si>
    <t>KZ Okpala</t>
  </si>
  <si>
    <t>Keldon Johnson</t>
  </si>
  <si>
    <t>Shamorie Ponds</t>
  </si>
  <si>
    <t>Daniel Gafford</t>
  </si>
  <si>
    <t>Kevin Porter Jr.</t>
  </si>
  <si>
    <t>DeAndre Hunter</t>
  </si>
  <si>
    <t>Ignas Brazdeikis</t>
  </si>
  <si>
    <t>John Konchar</t>
  </si>
  <si>
    <t>Rui Hachimura</t>
  </si>
  <si>
    <t>Cameron Johnson</t>
  </si>
  <si>
    <t>Mfiondu Kabengele</t>
  </si>
  <si>
    <t>Darius Bazley</t>
  </si>
  <si>
    <t>Luguentz Dort</t>
  </si>
  <si>
    <t>Luka Samanic</t>
  </si>
  <si>
    <t>Matisse Thybulle</t>
  </si>
  <si>
    <t>Carsen Edwards</t>
  </si>
  <si>
    <t>position</t>
  </si>
  <si>
    <t>C</t>
  </si>
  <si>
    <t>PF</t>
  </si>
  <si>
    <t>SF</t>
  </si>
  <si>
    <t>PG</t>
  </si>
  <si>
    <t>SG</t>
  </si>
  <si>
    <t>school</t>
  </si>
  <si>
    <t>Oregon</t>
  </si>
  <si>
    <t>Gonzaga</t>
  </si>
  <si>
    <t>age</t>
  </si>
  <si>
    <t>Grade</t>
  </si>
  <si>
    <t>Freshman</t>
  </si>
  <si>
    <t>birthday</t>
  </si>
  <si>
    <t>Maryland</t>
  </si>
  <si>
    <t>Kentucky</t>
  </si>
  <si>
    <t>Duke</t>
  </si>
  <si>
    <t>North Carolina</t>
  </si>
  <si>
    <t>Purdue</t>
  </si>
  <si>
    <t>Auburn</t>
  </si>
  <si>
    <t>Arkansas</t>
  </si>
  <si>
    <t>Vanderbilt</t>
  </si>
  <si>
    <t>Virginia</t>
  </si>
  <si>
    <t>Georgia</t>
  </si>
  <si>
    <t>Tennessee</t>
  </si>
  <si>
    <t>Michigan</t>
  </si>
  <si>
    <t>Murray State</t>
  </si>
  <si>
    <t>Texas Tech</t>
  </si>
  <si>
    <t>Purdue Fort Wayne</t>
  </si>
  <si>
    <t>Texas</t>
  </si>
  <si>
    <t>Missouri</t>
  </si>
  <si>
    <t>USC</t>
  </si>
  <si>
    <t>Stanford</t>
  </si>
  <si>
    <t>Arizona State</t>
  </si>
  <si>
    <t>Washington</t>
  </si>
  <si>
    <t>Florida State</t>
  </si>
  <si>
    <t>Virginia Tech</t>
  </si>
  <si>
    <t>RJ Barrett</t>
  </si>
  <si>
    <t>Indiana</t>
  </si>
  <si>
    <t>Guinea</t>
  </si>
  <si>
    <t>St. John's</t>
  </si>
  <si>
    <t>Iowa State</t>
  </si>
  <si>
    <t>Admiral Schofield</t>
  </si>
  <si>
    <t>Sophomore</t>
  </si>
  <si>
    <t>Junior</t>
  </si>
  <si>
    <t>Senior</t>
  </si>
  <si>
    <t>Talen Horton-Tucker</t>
  </si>
  <si>
    <t>PLAYER</t>
  </si>
  <si>
    <t>POS</t>
  </si>
  <si>
    <t>BODY FAT %</t>
  </si>
  <si>
    <t>HAND LENGTH (INCHES)</t>
  </si>
  <si>
    <t>HAND WIDTH (INCHES)</t>
  </si>
  <si>
    <t>HEIGHT W/O SHOES</t>
  </si>
  <si>
    <t>HEIGHT W/ SHOES</t>
  </si>
  <si>
    <t>STANDING REACH</t>
  </si>
  <si>
    <t>WEIGHT (LBS)</t>
  </si>
  <si>
    <t>WINGSPAN</t>
  </si>
  <si>
    <t>6' 4.25''</t>
  </si>
  <si>
    <t>6' 5.5''</t>
  </si>
  <si>
    <t>8' 6''</t>
  </si>
  <si>
    <t>6' 9.5''</t>
  </si>
  <si>
    <t>-%</t>
  </si>
  <si>
    <t>-</t>
  </si>
  <si>
    <t>Charles Bassey</t>
  </si>
  <si>
    <t>6' 8.75''</t>
  </si>
  <si>
    <t>6' 10''</t>
  </si>
  <si>
    <t>9' 1.5''</t>
  </si>
  <si>
    <t>7' 3.5''</t>
  </si>
  <si>
    <t>6' 7.75''</t>
  </si>
  <si>
    <t>6' 9''</t>
  </si>
  <si>
    <t>8' 11''</t>
  </si>
  <si>
    <t>7' 0''</t>
  </si>
  <si>
    <t>7' 0.75''</t>
  </si>
  <si>
    <t>7' 2.5''</t>
  </si>
  <si>
    <t>9' 7.5''</t>
  </si>
  <si>
    <t>7' 7''</t>
  </si>
  <si>
    <t>Jordan Bone</t>
  </si>
  <si>
    <t>6' 1.5''</t>
  </si>
  <si>
    <t>6' 2.75''</t>
  </si>
  <si>
    <t>7' 11''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</si>
</sst>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0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shrinkToFit="1"/>
    </xf>
    <xf numFmtId="2" fontId="0" fillId="0" borderId="0" xfId="0" applyNumberFormat="1" applyAlignment="1">
      <alignment shrinkToFit="1"/>
    </xf>
    <xf numFmtId="0" fontId="1" fillId="0" borderId="0" xfId="1" applyAlignment="1">
      <alignment shrinkToFit="1"/>
    </xf>
    <xf numFmtId="14" fontId="0" fillId="0" borderId="0" xfId="0" applyNumberFormat="1" applyAlignment="1">
      <alignment shrinkToFit="1"/>
    </xf>
  </cellXfs>
  <cellStyles count="2">
    <cellStyle name="Hyperlink" xfId="1" builtinId="8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:a="http://schemas.openxmlformats.org/drawingml/2006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0" Type="http://schemas.openxmlformats.org/officeDocument/2006/relationships/hyperlink" Target="https://www.sports-reference.com/cbb/players/nassir-little-1.html" TargetMode="External"/><Relationship Id="rId21" Type="http://schemas.openxmlformats.org/officeDocument/2006/relationships/hyperlink" Target="https://www.sports-reference.com/cbb/players/romeo-langford-1.html" TargetMode="External"/><Relationship Id="rId22" Type="http://schemas.openxmlformats.org/officeDocument/2006/relationships/hyperlink" Target="https://www.sports-reference.com/cbb/players/deandre-hunter-1.html" TargetMode="External"/><Relationship Id="rId23" Type="http://schemas.openxmlformats.org/officeDocument/2006/relationships/hyperlink" Target="https://www.sports-reference.com/cbb/players/ty-jerome-1.html" TargetMode="External"/><Relationship Id="rId24" Type="http://schemas.openxmlformats.org/officeDocument/2006/relationships/hyperlink" Target="https://www.basketball-reference.com/international/players/sekou-omar-doumbouya-1.html" TargetMode="External"/><Relationship Id="rId25" Type="http://schemas.openxmlformats.org/officeDocument/2006/relationships/hyperlink" Target="https://www.sports-reference.com/cbb/players/kezie-okpala-1.html" TargetMode="External"/><Relationship Id="rId26" Type="http://schemas.openxmlformats.org/officeDocument/2006/relationships/hyperlink" Target="https://www.sports-reference.com/cbb/players/rui-hachimura-1.html" TargetMode="External"/><Relationship Id="rId27" Type="http://schemas.openxmlformats.org/officeDocument/2006/relationships/hyperlink" Target="https://www.sports-reference.com/cbb/players/carsen-edwards-1.html" TargetMode="External"/><Relationship Id="rId28" Type="http://schemas.openxmlformats.org/officeDocument/2006/relationships/hyperlink" Target="https://www.sports-reference.com/cbb/players/cameron-johnson-4.html" TargetMode="External"/><Relationship Id="rId29" Type="http://schemas.openxmlformats.org/officeDocument/2006/relationships/hyperlink" Target="https://www.sports-reference.com/cbb/players/keldon-johnson-1.html" TargetMode="External"/><Relationship Id="rId1" Type="http://schemas.openxmlformats.org/officeDocument/2006/relationships/hyperlink" Target="https://www.sports-reference.com/cbb/players/zion-williamson-1.html" TargetMode="External"/><Relationship Id="rId2" Type="http://schemas.openxmlformats.org/officeDocument/2006/relationships/hyperlink" Target="https://www.sports-reference.com/cbb/players/temetrius-morant-1.html" TargetMode="External"/><Relationship Id="rId3" Type="http://schemas.openxmlformats.org/officeDocument/2006/relationships/hyperlink" Target="https://www.sports-reference.com/cbb/players/rj-barrett-1.html" TargetMode="External"/><Relationship Id="rId4" Type="http://schemas.openxmlformats.org/officeDocument/2006/relationships/hyperlink" Target="https://www.sports-reference.com/cbb/players/jaxson-hayes-1.html" TargetMode="External"/><Relationship Id="rId5" Type="http://schemas.openxmlformats.org/officeDocument/2006/relationships/hyperlink" Target="https://www.sports-reference.com/cbb/players/jarrett-culver-1.html" TargetMode="External"/><Relationship Id="rId30" Type="http://schemas.openxmlformats.org/officeDocument/2006/relationships/hyperlink" Target="https://www.sports-reference.com/cbb/players/kevin-porterjr-1.html" TargetMode="External"/><Relationship Id="rId31" Type="http://schemas.openxmlformats.org/officeDocument/2006/relationships/hyperlink" Target="https://www.sports-reference.com/cbb/players/mfiondu-kabengele-1.html" TargetMode="External"/><Relationship Id="rId32" Type="http://schemas.openxmlformats.org/officeDocument/2006/relationships/hyperlink" Target="https://en.wikipedia.org/wiki/Darius_Bazley" TargetMode="External"/><Relationship Id="rId9" Type="http://schemas.openxmlformats.org/officeDocument/2006/relationships/hyperlink" Target="https://www.sports-reference.com/cbb/players/jontay-porter-1.html" TargetMode="External"/><Relationship Id="rId6" Type="http://schemas.openxmlformats.org/officeDocument/2006/relationships/hyperlink" Target="https://www.sports-reference.com/cbb/players/talen-horton-tucker-1.html" TargetMode="External"/><Relationship Id="rId7" Type="http://schemas.openxmlformats.org/officeDocument/2006/relationships/hyperlink" Target="https://www.sports-reference.com/cbb/players/darius-garland-1.html" TargetMode="External"/><Relationship Id="rId8" Type="http://schemas.openxmlformats.org/officeDocument/2006/relationships/hyperlink" Target="https://www.sports-reference.com/cbb/players/pj-washington-1.html" TargetMode="External"/><Relationship Id="rId33" Type="http://schemas.openxmlformats.org/officeDocument/2006/relationships/hyperlink" Target="https://www.proballers.com/basket-ball-player/70813/luka-samanic" TargetMode="External"/><Relationship Id="rId34" Type="http://schemas.openxmlformats.org/officeDocument/2006/relationships/hyperlink" Target="https://www.sports-reference.com/cbb/players/luguentz-dort-1.html" TargetMode="External"/><Relationship Id="rId35" Type="http://schemas.openxmlformats.org/officeDocument/2006/relationships/hyperlink" Target="https://www.sports-reference.com/cbb/players/matisse-thybulle-1.html" TargetMode="External"/><Relationship Id="rId36" Type="http://schemas.openxmlformats.org/officeDocument/2006/relationships/hyperlink" Target="https://www.sports-reference.com/cbb/players/bruno-fernando-1.html" TargetMode="External"/><Relationship Id="rId10" Type="http://schemas.openxmlformats.org/officeDocument/2006/relationships/hyperlink" Target="https://www.sports-reference.com/cbb/players/grant-williams-1.html" TargetMode="External"/><Relationship Id="rId11" Type="http://schemas.openxmlformats.org/officeDocument/2006/relationships/hyperlink" Target="https://www.sports-reference.com/cbb/players/cam-reddish-1.html" TargetMode="External"/><Relationship Id="rId12" Type="http://schemas.openxmlformats.org/officeDocument/2006/relationships/hyperlink" Target="https://www.sports-reference.com/cbb/players/nicolas-claxton-1.html" TargetMode="External"/><Relationship Id="rId13" Type="http://schemas.openxmlformats.org/officeDocument/2006/relationships/hyperlink" Target="https://www.sports-reference.com/cbb/players/chuma-okeke-1.html" TargetMode="External"/><Relationship Id="rId14" Type="http://schemas.openxmlformats.org/officeDocument/2006/relationships/hyperlink" Target="https://www.basketball-reference.com/international/players/goga-bitadze-1.html" TargetMode="External"/><Relationship Id="rId15" Type="http://schemas.openxmlformats.org/officeDocument/2006/relationships/hyperlink" Target="https://www.sports-reference.com/cbb/players/coby-white-1.html" TargetMode="External"/><Relationship Id="rId16" Type="http://schemas.openxmlformats.org/officeDocument/2006/relationships/hyperlink" Target="https://www.sports-reference.com/cbb/players/bol-bol-1.html" TargetMode="External"/><Relationship Id="rId17" Type="http://schemas.openxmlformats.org/officeDocument/2006/relationships/hyperlink" Target="https://www.sports-reference.com/cbb/players/brandon-clarke-1.html" TargetMode="External"/><Relationship Id="rId18" Type="http://schemas.openxmlformats.org/officeDocument/2006/relationships/hyperlink" Target="https://www.sports-reference.com/cbb/players/tyler-herro-1.html" TargetMode="External"/><Relationship Id="rId19" Type="http://schemas.openxmlformats.org/officeDocument/2006/relationships/hyperlink" Target="https://www.sports-reference.com/cbb/players/nickeil-alexander-walker-1.html" TargetMode="External"/><Relationship Id="rId37" Type="http://schemas.openxmlformats.org/officeDocument/2006/relationships/hyperlink" Target="https://www.sports-reference.com/cbb/players/admiral-schofield-1.html" TargetMode="External"/><Relationship Id="rId38" Type="http://schemas.openxmlformats.org/officeDocument/2006/relationships/hyperlink" Target="https://www.sports-reference.com/cbb/players/daniel-gafford-1.html" TargetMode="External"/><Relationship Id="rId39" Type="http://schemas.openxmlformats.org/officeDocument/2006/relationships/hyperlink" Target="https://www.sports-reference.com/cbb/players/shamorie-ponds-1.html" TargetMode="External"/><Relationship Id="rId40" Type="http://schemas.openxmlformats.org/officeDocument/2006/relationships/hyperlink" Target="https://www.sports-reference.com/cbb/players/john-konchar-1.html" TargetMode="External"/><Relationship Id="rId41" Type="http://schemas.openxmlformats.org/officeDocument/2006/relationships/hyperlink" Target="https://www.sports-reference.com/cbb/players/ignas-brazdeikis-1.html" TargetMode="External"/><Relationship Id="rId4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T42"/>
  <sheetViews>
    <sheetView tabSelected="1"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G46" sqref="G46"/>
    </sheetView>
  </sheetViews>
  <sheetFormatPr baseColWidth="10" defaultRowHeight="15"/>
  <cols>
    <col min="1" max="1" width="22.1640625" style="4" bestFit="1" customWidth="1"/>
    <col min="2" max="2" width="10.1640625" style="4" bestFit="1" customWidth="1"/>
    <col min="3" max="3" width="17" style="4" bestFit="1" customWidth="1"/>
    <col min="4" max="4" width="10.5" style="4" bestFit="1" customWidth="1"/>
    <col min="5" max="5" width="6.6640625" style="5" bestFit="1" customWidth="1"/>
    <col min="6" max="6" width="12.1640625" style="4" bestFit="1" customWidth="1"/>
    <col min="7" max="7" width="14.83203125" style="4" bestFit="1" customWidth="1"/>
    <col min="8" max="8" width="11.5" style="4" bestFit="1" customWidth="1"/>
    <col min="9" max="9" width="8.33203125" style="4" bestFit="1" customWidth="1"/>
    <col min="10" max="10" width="6.33203125" style="4" bestFit="1" customWidth="1"/>
    <col min="11" max="11" width="8.33203125" style="4" bestFit="1" customWidth="1"/>
    <col min="12" max="12" width="8.33203125" style="4" customWidth="1"/>
    <col min="13" max="13" width="7.5" style="2" bestFit="1" customWidth="1"/>
    <col min="14" max="14" width="7.83203125" style="2" bestFit="1" customWidth="1"/>
    <col min="15" max="15" width="8.33203125" style="2" bestFit="1" customWidth="1"/>
    <col min="16" max="16" width="10.33203125" style="2" bestFit="1" customWidth="1"/>
    <col min="17" max="17" width="8.83203125" style="2" bestFit="1" customWidth="1"/>
    <col min="18" max="18" width="11.5" style="2" bestFit="1" customWidth="1"/>
    <col min="19" max="19" width="8.1640625" style="2" bestFit="1" customWidth="1"/>
  </cols>
  <sheetData>
    <row r="1" spans="1:20">
      <c r="A1" s="4" t="s">
        <v>190</v>
      </c>
      <c r="B1" s="4" t="s">
        <v>220</v>
      </c>
      <c r="C1" s="4" t="s">
        <v>226</v>
      </c>
      <c r="D1" s="4" t="s">
        <v>230</v>
      </c>
      <c r="E1" s="5" t="s">
        <v>229</v>
      </c>
      <c r="F1" s="4" t="s">
        <v>21</v>
      </c>
      <c r="G1" s="4" t="s">
        <v>22</v>
      </c>
      <c r="H1" s="4" t="s">
        <v>24</v>
      </c>
      <c r="I1" s="4" t="s">
        <v>25</v>
      </c>
      <c r="J1" s="4" t="s">
        <v>194</v>
      </c>
      <c r="K1" s="4" t="s">
        <v>26</v>
      </c>
      <c r="L1" s="4" t="s">
        <v>18</v>
      </c>
      <c r="M1" s="2" t="s">
        <v>193</v>
      </c>
      <c r="N1" s="2" t="s">
        <v>191</v>
      </c>
      <c r="O1" s="2" t="s">
        <v>192</v>
      </c>
      <c r="P1" s="2" t="s">
        <v>232</v>
      </c>
      <c r="Q1" s="2" t="s">
        <v>20</v>
      </c>
      <c r="R1" s="2" t="s">
        <v>19</v>
      </c>
      <c r="S1" s="2" t="s">
        <v>23</v>
      </c>
    </row>
    <row r="2" spans="1:20">
      <c r="A2" s="4" t="s">
        <v>184</v>
      </c>
      <c r="B2" s="4" t="s">
        <v>222</v>
      </c>
      <c r="C2" s="4" t="s">
        <v>235</v>
      </c>
      <c r="D2" s="4" t="s">
        <v>231</v>
      </c>
      <c r="E2" s="5">
        <f t="shared" ref="E2:E42" ca="1" si="0">YEARFRAC(P2, TODAY(), 1)</f>
        <v>18.951403148528406</v>
      </c>
      <c r="F2" s="4" t="str">
        <f t="shared" ref="F2:F42" si="1">IFERROR(LEFT(Q2,FIND("'",Q2)-1)*12+SUBSTITUTE(MID(Q2,FIND("'",Q2)+1,LEN(Q2)),"''",""), "")</f>
        <v/>
      </c>
      <c r="G2" s="4" t="str">
        <f t="shared" ref="G2:G42" si="2">IFERROR(LEFT(R2,FIND("'",R2)-1)*12+SUBSTITUTE(MID(R2,FIND("'",R2)+1,LEN(R2)),"''",""), "")</f>
        <v/>
      </c>
      <c r="H2" s="4" t="str">
        <f t="shared" ref="H2:H42" si="3">IFERROR(LEFT(S2,FIND("'",S2)-1)*12+SUBSTITUTE(MID(S2,FIND("'",S2)+1,LEN(S2)),"''",""), "")</f>
        <v/>
      </c>
      <c r="I2" s="4" t="str">
        <f t="shared" ref="I2:I42" si="4">IFERROR(IF(G2-F2&gt;= 0, "+" &amp; G2-F2, ""),"")</f>
        <v/>
      </c>
      <c r="J2" s="4">
        <v>1</v>
      </c>
      <c r="K2" s="4">
        <v>65</v>
      </c>
      <c r="L2" s="6" t="s">
        <v>30</v>
      </c>
      <c r="M2" s="2">
        <v>1</v>
      </c>
      <c r="N2" s="2">
        <v>1</v>
      </c>
      <c r="O2" s="2">
        <v>1</v>
      </c>
      <c r="P2" s="3">
        <v>36713</v>
      </c>
      <c r="Q2" s="2">
        <f>IFERROR(INDEX('nba.com measureables'!$A:$J,MATCH($A2,'nba.com measureables'!$A:$A,FALSE),7), "")</f>
        <v>0</v>
      </c>
      <c r="R2" s="2">
        <f>IFERROR(INDEX('nba.com measureables'!$A:$J,MATCH($A2,'nba.com measureables'!$A:$A,FALSE),10), "")</f>
        <v>0</v>
      </c>
      <c r="S2" s="2">
        <f>IFERROR(INDEX('nba.com measureables'!$A:$J,MATCH($A2,'nba.com measureables'!$A:$A,FALSE),8), "")</f>
        <v>0</v>
      </c>
      <c r="T2" t="str">
        <f ca="1">"  &lt;li&gt;&lt;b&gt;&lt;a 
    target='_blank' 
    href='" &amp; L2 &amp; "'&gt;" &amp; A2 &amp; "&lt;/a&gt;&lt;/b&gt; - &lt;i&gt;" &amp; B2 &amp; " - " &amp; C2 &amp; "&lt;/i&gt;&lt;/li&gt;
  &lt;ul style='list-style-type:none'&gt;"
&amp; IF(D2 &lt;&gt; "", "
    &lt;li&gt;Grade: " &amp; D2 &amp; " &lt;/li&gt;", "")
&amp; IF(E2 &lt;&gt; "", "
    &lt;li&gt;Age: " &amp; ROUND(E2,2) &amp; " &lt;/li&gt;", "")
&amp; IF(F2 &lt;&gt; "", "
    &lt;li&gt;Height: " &amp; F2 &amp; " &lt;/li&gt;", "")
&amp; IF(G2 &lt;&gt; "", "
    &lt;li&gt;Wingspan: " &amp; G2 &amp; " &lt;/li&gt;", "")
&amp; IF(H2 &lt;&gt; "", "
    &lt;li&gt;Reach: " &amp; H2 &amp; " &lt;/li&gt;", "")
&amp; IF(I2 &lt;&gt; "", "
    &lt;li&gt;Ape: " &amp; I2 &amp; " &lt;/li&gt;", "")
&amp; "
  &lt;/ul&gt;
&lt;br&gt;"</f>
        <v xml:space="preserve">  &lt;li&gt;&lt;b&gt;&lt;a _x000D_    target='_blank' _x000D_    href='https://www.sports-reference.com/cbb/players/zion-williamson-1.html'&gt;Zion Williamson&lt;/a&gt;&lt;/b&gt; - &lt;i&gt;PF - Duke&lt;/i&gt;&lt;/li&gt;_x000D_  &lt;ul style='list-style-type:none'&gt;_x000D_    &lt;li&gt;Grade: Freshman &lt;/li&gt;_x000D_    &lt;li&gt;Age: 18.95 &lt;/li&gt;_x000D_  &lt;/ul&gt;_x000D_&lt;br&gt;</v>
      </c>
    </row>
    <row r="3" spans="1:20">
      <c r="A3" s="4" t="s">
        <v>187</v>
      </c>
      <c r="B3" s="4" t="s">
        <v>224</v>
      </c>
      <c r="C3" s="4" t="s">
        <v>245</v>
      </c>
      <c r="D3" s="4" t="s">
        <v>262</v>
      </c>
      <c r="E3" s="5">
        <f t="shared" ca="1" si="0"/>
        <v>19.858279009126466</v>
      </c>
      <c r="F3" s="4" t="str">
        <f t="shared" si="1"/>
        <v/>
      </c>
      <c r="G3" s="4" t="str">
        <f t="shared" si="2"/>
        <v/>
      </c>
      <c r="H3" s="4" t="str">
        <f t="shared" si="3"/>
        <v/>
      </c>
      <c r="I3" s="4" t="str">
        <f t="shared" si="4"/>
        <v/>
      </c>
      <c r="J3" s="4">
        <v>2</v>
      </c>
      <c r="K3" s="4">
        <v>60</v>
      </c>
      <c r="L3" s="6" t="s">
        <v>31</v>
      </c>
      <c r="M3" s="2">
        <v>2</v>
      </c>
      <c r="N3" s="2">
        <v>2</v>
      </c>
      <c r="O3" s="2">
        <v>5</v>
      </c>
      <c r="P3" s="3">
        <v>36382</v>
      </c>
      <c r="Q3" s="2">
        <f>IFERROR(INDEX('nba.com measureables'!$A:$J,MATCH($A3,'nba.com measureables'!$A:$A,FALSE),7), "")</f>
        <v>0</v>
      </c>
      <c r="R3" s="2">
        <f>IFERROR(INDEX('nba.com measureables'!$A:$J,MATCH($A3,'nba.com measureables'!$A:$A,FALSE),10), "")</f>
        <v>0</v>
      </c>
      <c r="S3" s="2">
        <f>IFERROR(INDEX('nba.com measureables'!$A:$J,MATCH($A3,'nba.com measureables'!$A:$A,FALSE),8), "")</f>
        <v>0</v>
      </c>
      <c r="T3" t="str">
        <f t="shared" ref="T3:T42" ca="1" si="5">"  &lt;li&gt;&lt;b&gt;&lt;a 
    target='_blank' 
    href='" &amp; L3 &amp; "'&gt;" &amp; A3 &amp; "&lt;/a&gt;&lt;/b&gt; - &lt;i&gt;" &amp; B3 &amp; " - " &amp; C3 &amp; "&lt;/i&gt;&lt;/li&gt;
  &lt;ul style='list-style-type:none'&gt;"
&amp; IF(D3 &lt;&gt; "", "
    &lt;li&gt;Grade: " &amp; D3 &amp; " &lt;/li&gt;", "")
&amp; IF(E3 &lt;&gt; "", "
    &lt;li&gt;Age: " &amp; ROUND(E3,2) &amp; " &lt;/li&gt;", "")
&amp; IF(F3 &lt;&gt; "", "
    &lt;li&gt;Height: " &amp; F3 &amp; " &lt;/li&gt;", "")
&amp; IF(G3 &lt;&gt; "", "
    &lt;li&gt;Wingspan: " &amp; G3 &amp; " &lt;/li&gt;", "")
&amp; IF(H3 &lt;&gt; "", "
    &lt;li&gt;Reach: " &amp; H3 &amp; " &lt;/li&gt;", "")
&amp; IF(I3 &lt;&gt; "", "
    &lt;li&gt;Ape: " &amp; I3 &amp; " &lt;/li&gt;", "")
&amp; "
  &lt;/ul&gt;
&lt;br&gt;"</f>
        <v xml:space="preserve">  &lt;li&gt;&lt;b&gt;&lt;a _x000D_    target='_blank' _x000D_    href='https://www.sports-reference.com/cbb/players/temetrius-morant-1.html'&gt;Ja Morant&lt;/a&gt;&lt;/b&gt; - &lt;i&gt;PG - Murray State&lt;/i&gt;&lt;/li&gt;_x000D_  &lt;ul style='list-style-type:none'&gt;_x000D_    &lt;li&gt;Grade: Sophomore &lt;/li&gt;_x000D_    &lt;li&gt;Age: 19.86 &lt;/li&gt;_x000D_  &lt;/ul&gt;_x000D_&lt;br&gt;</v>
      </c>
    </row>
    <row r="4" spans="1:20">
      <c r="A4" s="4" t="s">
        <v>256</v>
      </c>
      <c r="B4" s="4" t="s">
        <v>225</v>
      </c>
      <c r="C4" s="4" t="s">
        <v>235</v>
      </c>
      <c r="D4" s="4" t="s">
        <v>231</v>
      </c>
      <c r="E4" s="5">
        <f t="shared" ca="1" si="0"/>
        <v>19.01163586584531</v>
      </c>
      <c r="F4" s="4" t="str">
        <f t="shared" si="1"/>
        <v/>
      </c>
      <c r="G4" s="4" t="str">
        <f t="shared" si="2"/>
        <v/>
      </c>
      <c r="H4" s="4" t="str">
        <f t="shared" si="3"/>
        <v/>
      </c>
      <c r="I4" s="4" t="str">
        <f t="shared" si="4"/>
        <v/>
      </c>
      <c r="J4" s="4">
        <v>3</v>
      </c>
      <c r="K4" s="4">
        <v>60</v>
      </c>
      <c r="L4" s="6" t="s">
        <v>32</v>
      </c>
      <c r="M4" s="2">
        <v>3</v>
      </c>
      <c r="N4" s="2">
        <v>3</v>
      </c>
      <c r="O4" s="2">
        <v>2</v>
      </c>
      <c r="P4" s="3">
        <v>36691</v>
      </c>
      <c r="Q4" s="2">
        <f>IFERROR(INDEX('nba.com measureables'!$A:$J,MATCH($A4,'nba.com measureables'!$A:$A,FALSE),7), "")</f>
        <v>0</v>
      </c>
      <c r="R4" s="2">
        <f>IFERROR(INDEX('nba.com measureables'!$A:$J,MATCH($A4,'nba.com measureables'!$A:$A,FALSE),10), "")</f>
        <v>0</v>
      </c>
      <c r="S4" s="2">
        <f>IFERROR(INDEX('nba.com measureables'!$A:$J,MATCH($A4,'nba.com measureables'!$A:$A,FALSE),8), "")</f>
        <v>0</v>
      </c>
      <c r="T4" t="str">
        <f t="shared" ca="1" si="5"/>
        <v xml:space="preserve">  &lt;li&gt;&lt;b&gt;&lt;a _x000D_    target='_blank' _x000D_    href='https://www.sports-reference.com/cbb/players/rj-barrett-1.html'&gt;RJ Barrett&lt;/a&gt;&lt;/b&gt; - &lt;i&gt;SG - Duke&lt;/i&gt;&lt;/li&gt;_x000D_  &lt;ul style='list-style-type:none'&gt;_x000D_    &lt;li&gt;Grade: Freshman &lt;/li&gt;_x000D_    &lt;li&gt;Age: 19.01 &lt;/li&gt;_x000D_  &lt;/ul&gt;_x000D_&lt;br&gt;</v>
      </c>
    </row>
    <row r="5" spans="1:20">
      <c r="A5" s="4" t="s">
        <v>116</v>
      </c>
      <c r="B5" s="4" t="s">
        <v>221</v>
      </c>
      <c r="C5" s="4" t="s">
        <v>248</v>
      </c>
      <c r="D5" s="4" t="s">
        <v>231</v>
      </c>
      <c r="E5" s="5">
        <f t="shared" ca="1" si="0"/>
        <v>19.071868583162217</v>
      </c>
      <c r="F5" s="4">
        <f t="shared" si="1"/>
        <v>83.5</v>
      </c>
      <c r="G5" s="4">
        <f t="shared" si="2"/>
        <v>87.5</v>
      </c>
      <c r="H5" s="4">
        <f t="shared" si="3"/>
        <v>110.5</v>
      </c>
      <c r="I5" s="4" t="str">
        <f t="shared" si="4"/>
        <v>+4</v>
      </c>
      <c r="J5" s="4">
        <v>4</v>
      </c>
      <c r="K5" s="4">
        <v>55</v>
      </c>
      <c r="L5" s="6" t="s">
        <v>33</v>
      </c>
      <c r="M5" s="2">
        <v>11</v>
      </c>
      <c r="N5" s="2">
        <v>7</v>
      </c>
      <c r="O5" s="2">
        <v>10</v>
      </c>
      <c r="P5" s="3">
        <v>36669</v>
      </c>
      <c r="Q5" s="2" t="str">
        <f>IFERROR(INDEX('nba.com measureables'!$A:$J,MATCH($A5,'nba.com measureables'!$A:$A,FALSE),7), "")</f>
        <v>6' 11.5''</v>
      </c>
      <c r="R5" s="2" t="str">
        <f>IFERROR(INDEX('nba.com measureables'!$A:$J,MATCH($A5,'nba.com measureables'!$A:$A,FALSE),10), "")</f>
        <v>7' 3.5''</v>
      </c>
      <c r="S5" s="2" t="str">
        <f>IFERROR(INDEX('nba.com measureables'!$A:$J,MATCH($A5,'nba.com measureables'!$A:$A,FALSE),8), "")</f>
        <v>9' 2.5''</v>
      </c>
      <c r="T5" t="str">
        <f t="shared" ca="1" si="5"/>
        <v xml:space="preserve">  &lt;li&gt;&lt;b&gt;&lt;a _x000D_    target='_blank' _x000D_    href='https://www.sports-reference.com/cbb/players/jaxson-hayes-1.html'&gt;Jaxson Hayes&lt;/a&gt;&lt;/b&gt; - &lt;i&gt;C - Texas&lt;/i&gt;&lt;/li&gt;_x000D_  &lt;ul style='list-style-type:none'&gt;_x000D_    &lt;li&gt;Grade: Freshman &lt;/li&gt;_x000D_    &lt;li&gt;Age: 19.07 &lt;/li&gt;_x000D_    &lt;li&gt;Height: 83.5 &lt;/li&gt;_x000D_    &lt;li&gt;Wingspan: 87.5 &lt;/li&gt;_x000D_    &lt;li&gt;Reach: 110.5 &lt;/li&gt;_x000D_    &lt;li&gt;Ape: +4 &lt;/li&gt;_x000D_  &lt;/ul&gt;_x000D_&lt;br&gt;</v>
      </c>
    </row>
    <row r="6" spans="1:20">
      <c r="A6" s="4" t="s">
        <v>185</v>
      </c>
      <c r="B6" s="4" t="s">
        <v>225</v>
      </c>
      <c r="C6" s="4" t="s">
        <v>246</v>
      </c>
      <c r="D6" s="4" t="s">
        <v>262</v>
      </c>
      <c r="E6" s="5">
        <f t="shared" ca="1" si="0"/>
        <v>20.326466753585397</v>
      </c>
      <c r="F6" s="4">
        <f t="shared" si="1"/>
        <v>78.75</v>
      </c>
      <c r="G6" s="4">
        <f t="shared" si="2"/>
        <v>81.5</v>
      </c>
      <c r="H6" s="4">
        <f t="shared" si="3"/>
        <v>100.5</v>
      </c>
      <c r="I6" s="4" t="str">
        <f t="shared" si="4"/>
        <v>+2.75</v>
      </c>
      <c r="J6" s="4">
        <v>5</v>
      </c>
      <c r="K6" s="4">
        <v>55</v>
      </c>
      <c r="L6" s="6" t="s">
        <v>34</v>
      </c>
      <c r="M6" s="2">
        <v>6</v>
      </c>
      <c r="N6" s="2">
        <v>5</v>
      </c>
      <c r="O6" s="2">
        <v>3</v>
      </c>
      <c r="P6" s="3">
        <v>36211</v>
      </c>
      <c r="Q6" s="2" t="str">
        <f>IFERROR(INDEX('nba.com measureables'!$A:$J,MATCH($A6,'nba.com measureables'!$A:$A,FALSE),7), "")</f>
        <v>6' 6.75''</v>
      </c>
      <c r="R6" s="2" t="str">
        <f>IFERROR(INDEX('nba.com measureables'!$A:$J,MATCH($A6,'nba.com measureables'!$A:$A,FALSE),10), "")</f>
        <v>6' 9.5''</v>
      </c>
      <c r="S6" s="2" t="str">
        <f>IFERROR(INDEX('nba.com measureables'!$A:$J,MATCH($A6,'nba.com measureables'!$A:$A,FALSE),8), "")</f>
        <v>8' 4.5''</v>
      </c>
      <c r="T6" t="str">
        <f t="shared" ca="1" si="5"/>
        <v xml:space="preserve">  &lt;li&gt;&lt;b&gt;&lt;a _x000D_    target='_blank' _x000D_    href='https://www.sports-reference.com/cbb/players/jarrett-culver-1.html'&gt;Jarrett Culver&lt;/a&gt;&lt;/b&gt; - &lt;i&gt;SG - Texas Tech&lt;/i&gt;&lt;/li&gt;_x000D_  &lt;ul style='list-style-type:none'&gt;_x000D_    &lt;li&gt;Grade: Sophomore &lt;/li&gt;_x000D_    &lt;li&gt;Age: 20.33 &lt;/li&gt;_x000D_    &lt;li&gt;Height: 78.75 &lt;/li&gt;_x000D_    &lt;li&gt;Wingspan: 81.5 &lt;/li&gt;_x000D_    &lt;li&gt;Reach: 100.5 &lt;/li&gt;_x000D_    &lt;li&gt;Ape: +2.75 &lt;/li&gt;_x000D_  &lt;/ul&gt;_x000D_&lt;br&gt;</v>
      </c>
    </row>
    <row r="7" spans="1:20">
      <c r="A7" s="4" t="s">
        <v>265</v>
      </c>
      <c r="B7" s="4" t="s">
        <v>223</v>
      </c>
      <c r="C7" s="4" t="s">
        <v>260</v>
      </c>
      <c r="D7" s="4" t="s">
        <v>231</v>
      </c>
      <c r="E7" s="5">
        <f t="shared" ca="1" si="0"/>
        <v>18.562628336755647</v>
      </c>
      <c r="F7" s="4">
        <f t="shared" si="1"/>
        <v>76</v>
      </c>
      <c r="G7" s="4">
        <f t="shared" si="2"/>
        <v>85.25</v>
      </c>
      <c r="H7" s="4">
        <f t="shared" si="3"/>
        <v>103</v>
      </c>
      <c r="I7" s="4" t="str">
        <f t="shared" si="4"/>
        <v>+9.25</v>
      </c>
      <c r="J7" s="4">
        <v>6</v>
      </c>
      <c r="K7" s="4">
        <v>55</v>
      </c>
      <c r="L7" s="6" t="s">
        <v>35</v>
      </c>
      <c r="M7" s="2">
        <v>34</v>
      </c>
      <c r="N7" s="2">
        <v>9</v>
      </c>
      <c r="P7" s="3">
        <v>36855</v>
      </c>
      <c r="Q7" s="2" t="str">
        <f>IFERROR(INDEX('nba.com measureables'!$A:$J,MATCH($A7,'nba.com measureables'!$A:$A,FALSE),7), "")</f>
        <v>6' 4''</v>
      </c>
      <c r="R7" s="2" t="str">
        <f>IFERROR(INDEX('nba.com measureables'!$A:$J,MATCH($A7,'nba.com measureables'!$A:$A,FALSE),10), "")</f>
        <v>7' 1.25''</v>
      </c>
      <c r="S7" s="2" t="str">
        <f>IFERROR(INDEX('nba.com measureables'!$A:$J,MATCH($A7,'nba.com measureables'!$A:$A,FALSE),8), "")</f>
        <v>8' 7''</v>
      </c>
      <c r="T7" t="str">
        <f t="shared" ca="1" si="5"/>
        <v xml:space="preserve">  &lt;li&gt;&lt;b&gt;&lt;a _x000D_    target='_blank' _x000D_    href='https://www.sports-reference.com/cbb/players/talen-horton-tucker-1.html'&gt;Talen Horton-Tucker&lt;/a&gt;&lt;/b&gt; - &lt;i&gt;SF - Iowa State&lt;/i&gt;&lt;/li&gt;_x000D_  &lt;ul style='list-style-type:none'&gt;_x000D_    &lt;li&gt;Grade: Freshman &lt;/li&gt;_x000D_    &lt;li&gt;Age: 18.56 &lt;/li&gt;_x000D_    &lt;li&gt;Height: 76 &lt;/li&gt;_x000D_    &lt;li&gt;Wingspan: 85.25 &lt;/li&gt;_x000D_    &lt;li&gt;Reach: 103 &lt;/li&gt;_x000D_    &lt;li&gt;Ape: +9.25 &lt;/li&gt;_x000D_  &lt;/ul&gt;_x000D_&lt;br&gt;</v>
      </c>
    </row>
    <row r="8" spans="1:20">
      <c r="A8" s="4" t="s">
        <v>186</v>
      </c>
      <c r="B8" s="4" t="s">
        <v>224</v>
      </c>
      <c r="C8" s="4" t="s">
        <v>240</v>
      </c>
      <c r="D8" s="4" t="s">
        <v>231</v>
      </c>
      <c r="E8" s="5">
        <f t="shared" ca="1" si="0"/>
        <v>19.394934976043807</v>
      </c>
      <c r="F8" s="4" t="str">
        <f t="shared" si="1"/>
        <v/>
      </c>
      <c r="G8" s="4" t="str">
        <f t="shared" si="2"/>
        <v/>
      </c>
      <c r="H8" s="4" t="str">
        <f t="shared" si="3"/>
        <v/>
      </c>
      <c r="I8" s="4" t="str">
        <f t="shared" si="4"/>
        <v/>
      </c>
      <c r="J8" s="4">
        <v>7</v>
      </c>
      <c r="K8" s="4">
        <v>55</v>
      </c>
      <c r="L8" s="6" t="s">
        <v>36</v>
      </c>
      <c r="M8" s="2">
        <v>4</v>
      </c>
      <c r="N8" s="2">
        <v>19</v>
      </c>
      <c r="O8" s="2">
        <v>4</v>
      </c>
      <c r="P8" s="3">
        <v>36551</v>
      </c>
      <c r="Q8" s="2">
        <f>IFERROR(INDEX('nba.com measureables'!$A:$J,MATCH($A8,'nba.com measureables'!$A:$A,FALSE),7), "")</f>
        <v>0</v>
      </c>
      <c r="R8" s="2">
        <f>IFERROR(INDEX('nba.com measureables'!$A:$J,MATCH($A8,'nba.com measureables'!$A:$A,FALSE),10), "")</f>
        <v>0</v>
      </c>
      <c r="S8" s="2">
        <f>IFERROR(INDEX('nba.com measureables'!$A:$J,MATCH($A8,'nba.com measureables'!$A:$A,FALSE),8), "")</f>
        <v>0</v>
      </c>
      <c r="T8" t="str">
        <f t="shared" ca="1" si="5"/>
        <v xml:space="preserve">  &lt;li&gt;&lt;b&gt;&lt;a _x000D_    target='_blank' _x000D_    href='https://www.sports-reference.com/cbb/players/darius-garland-1.html'&gt;Darius Garland&lt;/a&gt;&lt;/b&gt; - &lt;i&gt;PG - Vanderbilt&lt;/i&gt;&lt;/li&gt;_x000D_  &lt;ul style='list-style-type:none'&gt;_x000D_    &lt;li&gt;Grade: Freshman &lt;/li&gt;_x000D_    &lt;li&gt;Age: 19.39 &lt;/li&gt;_x000D_  &lt;/ul&gt;_x000D_&lt;br&gt;</v>
      </c>
    </row>
    <row r="9" spans="1:20">
      <c r="A9" s="4" t="s">
        <v>178</v>
      </c>
      <c r="B9" s="4" t="s">
        <v>222</v>
      </c>
      <c r="C9" s="4" t="s">
        <v>234</v>
      </c>
      <c r="D9" s="4" t="s">
        <v>262</v>
      </c>
      <c r="E9" s="5">
        <f t="shared" ca="1" si="0"/>
        <v>20.822650902302424</v>
      </c>
      <c r="F9" s="4">
        <f t="shared" si="1"/>
        <v>80</v>
      </c>
      <c r="G9" s="4">
        <f t="shared" si="2"/>
        <v>86.25</v>
      </c>
      <c r="H9" s="4">
        <f t="shared" si="3"/>
        <v>106.5</v>
      </c>
      <c r="I9" s="4" t="str">
        <f t="shared" si="4"/>
        <v>+6.25</v>
      </c>
      <c r="J9" s="4">
        <v>8</v>
      </c>
      <c r="K9" s="4">
        <v>55</v>
      </c>
      <c r="L9" s="6" t="s">
        <v>37</v>
      </c>
      <c r="M9" s="2">
        <v>16</v>
      </c>
      <c r="N9" s="2">
        <v>4</v>
      </c>
      <c r="P9" s="3">
        <v>36030</v>
      </c>
      <c r="Q9" s="2" t="str">
        <f>IFERROR(INDEX('nba.com measureables'!$A:$J,MATCH($A9,'nba.com measureables'!$A:$A,FALSE),7), "")</f>
        <v>6' 8''</v>
      </c>
      <c r="R9" s="2" t="str">
        <f>IFERROR(INDEX('nba.com measureables'!$A:$J,MATCH($A9,'nba.com measureables'!$A:$A,FALSE),10), "")</f>
        <v>7' 2.25''</v>
      </c>
      <c r="S9" s="2" t="str">
        <f>IFERROR(INDEX('nba.com measureables'!$A:$J,MATCH($A9,'nba.com measureables'!$A:$A,FALSE),8), "")</f>
        <v>8' 10.5''</v>
      </c>
      <c r="T9" t="str">
        <f t="shared" ca="1" si="5"/>
        <v xml:space="preserve">  &lt;li&gt;&lt;b&gt;&lt;a _x000D_    target='_blank' _x000D_    href='https://www.sports-reference.com/cbb/players/pj-washington-1.html'&gt;PJ Washington&lt;/a&gt;&lt;/b&gt; - &lt;i&gt;PF - Kentucky&lt;/i&gt;&lt;/li&gt;_x000D_  &lt;ul style='list-style-type:none'&gt;_x000D_    &lt;li&gt;Grade: Sophomore &lt;/li&gt;_x000D_    &lt;li&gt;Age: 20.82 &lt;/li&gt;_x000D_    &lt;li&gt;Height: 80 &lt;/li&gt;_x000D_    &lt;li&gt;Wingspan: 86.25 &lt;/li&gt;_x000D_    &lt;li&gt;Reach: 106.5 &lt;/li&gt;_x000D_    &lt;li&gt;Ape: +6.25 &lt;/li&gt;_x000D_  &lt;/ul&gt;_x000D_&lt;br&gt;</v>
      </c>
    </row>
    <row r="10" spans="1:20">
      <c r="A10" s="4" t="s">
        <v>179</v>
      </c>
      <c r="B10" s="4" t="s">
        <v>221</v>
      </c>
      <c r="C10" s="4" t="s">
        <v>249</v>
      </c>
      <c r="D10" s="4" t="s">
        <v>262</v>
      </c>
      <c r="E10" s="5">
        <f t="shared" ca="1" si="0"/>
        <v>19.592698826597132</v>
      </c>
      <c r="F10" s="4">
        <f t="shared" si="1"/>
        <v>83</v>
      </c>
      <c r="G10" s="4">
        <f t="shared" si="2"/>
        <v>84</v>
      </c>
      <c r="H10" s="4">
        <f t="shared" si="3"/>
        <v>109.5</v>
      </c>
      <c r="I10" s="4" t="str">
        <f t="shared" si="4"/>
        <v>+1</v>
      </c>
      <c r="J10" s="4">
        <v>9</v>
      </c>
      <c r="K10" s="4">
        <v>50</v>
      </c>
      <c r="L10" s="6" t="s">
        <v>38</v>
      </c>
      <c r="M10" s="2">
        <v>42</v>
      </c>
      <c r="N10" s="2">
        <v>15</v>
      </c>
      <c r="O10" s="2">
        <v>6</v>
      </c>
      <c r="P10" s="3">
        <v>36479</v>
      </c>
      <c r="Q10" s="2" t="str">
        <f>IFERROR(INDEX('nba.com measureables'!$A:$J,MATCH($A10,'nba.com measureables'!$A:$A,FALSE),7), "")</f>
        <v>6' 11''</v>
      </c>
      <c r="R10" s="2" t="str">
        <f>IFERROR(INDEX('nba.com measureables'!$A:$J,MATCH($A10,'nba.com measureables'!$A:$A,FALSE),10), "")</f>
        <v>7' 0''</v>
      </c>
      <c r="S10" s="2" t="str">
        <f>IFERROR(INDEX('nba.com measureables'!$A:$J,MATCH($A10,'nba.com measureables'!$A:$A,FALSE),8), "")</f>
        <v>9' 1.5''</v>
      </c>
      <c r="T10" t="str">
        <f t="shared" ca="1" si="5"/>
        <v xml:space="preserve">  &lt;li&gt;&lt;b&gt;&lt;a _x000D_    target='_blank' _x000D_    href='https://www.sports-reference.com/cbb/players/jontay-porter-1.html'&gt;Jontay Porter&lt;/a&gt;&lt;/b&gt; - &lt;i&gt;C - Missouri&lt;/i&gt;&lt;/li&gt;_x000D_  &lt;ul style='list-style-type:none'&gt;_x000D_    &lt;li&gt;Grade: Sophomore &lt;/li&gt;_x000D_    &lt;li&gt;Age: 19.59 &lt;/li&gt;_x000D_    &lt;li&gt;Height: 83 &lt;/li&gt;_x000D_    &lt;li&gt;Wingspan: 84 &lt;/li&gt;_x000D_    &lt;li&gt;Reach: 109.5 &lt;/li&gt;_x000D_    &lt;li&gt;Ape: +1 &lt;/li&gt;_x000D_  &lt;/ul&gt;_x000D_&lt;br&gt;</v>
      </c>
    </row>
    <row r="11" spans="1:20">
      <c r="A11" s="4" t="s">
        <v>182</v>
      </c>
      <c r="B11" s="4" t="s">
        <v>222</v>
      </c>
      <c r="C11" s="4" t="s">
        <v>243</v>
      </c>
      <c r="D11" s="4" t="s">
        <v>263</v>
      </c>
      <c r="E11" s="5">
        <f t="shared" ca="1" si="0"/>
        <v>20.551586807716241</v>
      </c>
      <c r="F11" s="4">
        <f t="shared" si="1"/>
        <v>79.5</v>
      </c>
      <c r="G11" s="4">
        <f t="shared" si="2"/>
        <v>81.75</v>
      </c>
      <c r="H11" s="4">
        <f t="shared" si="3"/>
        <v>104.5</v>
      </c>
      <c r="I11" s="4" t="str">
        <f t="shared" si="4"/>
        <v>+2.25</v>
      </c>
      <c r="J11" s="4">
        <v>10</v>
      </c>
      <c r="K11" s="4">
        <v>50</v>
      </c>
      <c r="L11" s="6" t="s">
        <v>39</v>
      </c>
      <c r="M11" s="2">
        <v>27</v>
      </c>
      <c r="N11" s="2">
        <v>12</v>
      </c>
      <c r="O11" s="2">
        <v>7</v>
      </c>
      <c r="P11" s="3">
        <v>36129</v>
      </c>
      <c r="Q11" s="2" t="str">
        <f>IFERROR(INDEX('nba.com measureables'!$A:$J,MATCH($A11,'nba.com measureables'!$A:$A,FALSE),7), "")</f>
        <v>6' 7.5''</v>
      </c>
      <c r="R11" s="2" t="str">
        <f>IFERROR(INDEX('nba.com measureables'!$A:$J,MATCH($A11,'nba.com measureables'!$A:$A,FALSE),10), "")</f>
        <v>6' 9.75''</v>
      </c>
      <c r="S11" s="2" t="str">
        <f>IFERROR(INDEX('nba.com measureables'!$A:$J,MATCH($A11,'nba.com measureables'!$A:$A,FALSE),8), "")</f>
        <v>8' 8.5''</v>
      </c>
      <c r="T11" t="str">
        <f t="shared" ca="1" si="5"/>
        <v xml:space="preserve">  &lt;li&gt;&lt;b&gt;&lt;a _x000D_    target='_blank' _x000D_    href='https://www.sports-reference.com/cbb/players/grant-williams-1.html'&gt;Grant Williams&lt;/a&gt;&lt;/b&gt; - &lt;i&gt;PF - Tennessee&lt;/i&gt;&lt;/li&gt;_x000D_  &lt;ul style='list-style-type:none'&gt;_x000D_    &lt;li&gt;Grade: Junior &lt;/li&gt;_x000D_    &lt;li&gt;Age: 20.55 &lt;/li&gt;_x000D_    &lt;li&gt;Height: 79.5 &lt;/li&gt;_x000D_    &lt;li&gt;Wingspan: 81.75 &lt;/li&gt;_x000D_    &lt;li&gt;Reach: 104.5 &lt;/li&gt;_x000D_    &lt;li&gt;Ape: +2.25 &lt;/li&gt;_x000D_  &lt;/ul&gt;_x000D_&lt;br&gt;</v>
      </c>
    </row>
    <row r="12" spans="1:20">
      <c r="A12" s="4" t="s">
        <v>196</v>
      </c>
      <c r="B12" s="4" t="s">
        <v>223</v>
      </c>
      <c r="C12" s="4" t="s">
        <v>235</v>
      </c>
      <c r="D12" s="4" t="s">
        <v>231</v>
      </c>
      <c r="E12" s="5">
        <f t="shared" ca="1" si="0"/>
        <v>19.798044328552802</v>
      </c>
      <c r="F12" s="4">
        <f t="shared" si="1"/>
        <v>80</v>
      </c>
      <c r="G12" s="4">
        <f t="shared" si="2"/>
        <v>84.5</v>
      </c>
      <c r="H12" s="4">
        <f t="shared" si="3"/>
        <v>105.5</v>
      </c>
      <c r="I12" s="4" t="str">
        <f t="shared" si="4"/>
        <v>+4.5</v>
      </c>
      <c r="J12" s="4">
        <v>11</v>
      </c>
      <c r="K12" s="4">
        <v>50</v>
      </c>
      <c r="L12" s="6" t="s">
        <v>40</v>
      </c>
      <c r="M12" s="2">
        <v>7</v>
      </c>
      <c r="N12" s="2">
        <v>6</v>
      </c>
      <c r="P12" s="3">
        <v>36404</v>
      </c>
      <c r="Q12" s="2" t="str">
        <f>IFERROR(INDEX('nba.com measureables'!$A:$J,MATCH($A12,'nba.com measureables'!$A:$A,FALSE),7), "")</f>
        <v>6' 8''</v>
      </c>
      <c r="R12" s="2" t="str">
        <f>IFERROR(INDEX('nba.com measureables'!$A:$J,MATCH($A12,'nba.com measureables'!$A:$A,FALSE),10), "")</f>
        <v>7' 0.5''</v>
      </c>
      <c r="S12" s="2" t="str">
        <f>IFERROR(INDEX('nba.com measureables'!$A:$J,MATCH($A12,'nba.com measureables'!$A:$A,FALSE),8), "")</f>
        <v>8' 9.5''</v>
      </c>
      <c r="T12" t="str">
        <f t="shared" ca="1" si="5"/>
        <v xml:space="preserve">  &lt;li&gt;&lt;b&gt;&lt;a _x000D_    target='_blank' _x000D_    href='https://www.sports-reference.com/cbb/players/cam-reddish-1.html'&gt;Cam Reddish&lt;/a&gt;&lt;/b&gt; - &lt;i&gt;SF - Duke&lt;/i&gt;&lt;/li&gt;_x000D_  &lt;ul style='list-style-type:none'&gt;_x000D_    &lt;li&gt;Grade: Freshman &lt;/li&gt;_x000D_    &lt;li&gt;Age: 19.8 &lt;/li&gt;_x000D_    &lt;li&gt;Height: 80 &lt;/li&gt;_x000D_    &lt;li&gt;Wingspan: 84.5 &lt;/li&gt;_x000D_    &lt;li&gt;Reach: 105.5 &lt;/li&gt;_x000D_    &lt;li&gt;Ape: +4.5 &lt;/li&gt;_x000D_  &lt;/ul&gt;_x000D_&lt;br&gt;</v>
      </c>
    </row>
    <row r="13" spans="1:20">
      <c r="A13" s="4" t="s">
        <v>189</v>
      </c>
      <c r="B13" s="4" t="s">
        <v>221</v>
      </c>
      <c r="C13" s="4" t="s">
        <v>242</v>
      </c>
      <c r="D13" s="4" t="s">
        <v>262</v>
      </c>
      <c r="E13" s="5">
        <f t="shared" ca="1" si="0"/>
        <v>20.173142112125163</v>
      </c>
      <c r="F13" s="4">
        <f t="shared" si="1"/>
        <v>83.75</v>
      </c>
      <c r="G13" s="4">
        <f t="shared" si="2"/>
        <v>86.5</v>
      </c>
      <c r="H13" s="4">
        <f t="shared" si="3"/>
        <v>110</v>
      </c>
      <c r="I13" s="4" t="str">
        <f t="shared" si="4"/>
        <v>+2.75</v>
      </c>
      <c r="J13" s="4">
        <v>12</v>
      </c>
      <c r="K13" s="4">
        <v>50</v>
      </c>
      <c r="L13" s="6" t="s">
        <v>41</v>
      </c>
      <c r="M13" s="2">
        <v>30</v>
      </c>
      <c r="N13" s="2">
        <v>13</v>
      </c>
      <c r="O13" s="2">
        <v>11</v>
      </c>
      <c r="P13" s="3">
        <v>36267</v>
      </c>
      <c r="Q13" s="2" t="str">
        <f>IFERROR(INDEX('nba.com measureables'!$A:$J,MATCH($A13,'nba.com measureables'!$A:$A,FALSE),7), "")</f>
        <v>6' 11.75''</v>
      </c>
      <c r="R13" s="2" t="str">
        <f>IFERROR(INDEX('nba.com measureables'!$A:$J,MATCH($A13,'nba.com measureables'!$A:$A,FALSE),10), "")</f>
        <v>7' 2.5''</v>
      </c>
      <c r="S13" s="2" t="str">
        <f>IFERROR(INDEX('nba.com measureables'!$A:$J,MATCH($A13,'nba.com measureables'!$A:$A,FALSE),8), "")</f>
        <v>9' 2''</v>
      </c>
      <c r="T13" t="str">
        <f t="shared" ca="1" si="5"/>
        <v xml:space="preserve">  &lt;li&gt;&lt;b&gt;&lt;a _x000D_    target='_blank' _x000D_    href='https://www.sports-reference.com/cbb/players/nicolas-claxton-1.html'&gt;Nicolas Claxton&lt;/a&gt;&lt;/b&gt; - &lt;i&gt;C - Georgia&lt;/i&gt;&lt;/li&gt;_x000D_  &lt;ul style='list-style-type:none'&gt;_x000D_    &lt;li&gt;Grade: Sophomore &lt;/li&gt;_x000D_    &lt;li&gt;Age: 20.17 &lt;/li&gt;_x000D_    &lt;li&gt;Height: 83.75 &lt;/li&gt;_x000D_    &lt;li&gt;Wingspan: 86.5 &lt;/li&gt;_x000D_    &lt;li&gt;Reach: 110 &lt;/li&gt;_x000D_    &lt;li&gt;Ape: +2.75 &lt;/li&gt;_x000D_  &lt;/ul&gt;_x000D_&lt;br&gt;</v>
      </c>
    </row>
    <row r="14" spans="1:20">
      <c r="A14" s="4" t="s">
        <v>188</v>
      </c>
      <c r="B14" s="4" t="s">
        <v>222</v>
      </c>
      <c r="C14" s="4" t="s">
        <v>238</v>
      </c>
      <c r="D14" s="4" t="s">
        <v>262</v>
      </c>
      <c r="E14" s="5">
        <f t="shared" ca="1" si="0"/>
        <v>20.836341008089608</v>
      </c>
      <c r="F14" s="4" t="str">
        <f t="shared" si="1"/>
        <v/>
      </c>
      <c r="G14" s="4" t="str">
        <f t="shared" si="2"/>
        <v/>
      </c>
      <c r="H14" s="4" t="str">
        <f t="shared" si="3"/>
        <v/>
      </c>
      <c r="I14" s="4" t="str">
        <f t="shared" si="4"/>
        <v/>
      </c>
      <c r="J14" s="4">
        <v>13</v>
      </c>
      <c r="K14" s="4">
        <v>50</v>
      </c>
      <c r="L14" s="6" t="s">
        <v>42</v>
      </c>
      <c r="M14" s="2">
        <v>33</v>
      </c>
      <c r="N14" s="2">
        <v>28</v>
      </c>
      <c r="O14" s="2">
        <v>9</v>
      </c>
      <c r="P14" s="3">
        <v>36025</v>
      </c>
      <c r="Q14" s="2">
        <f>IFERROR(INDEX('nba.com measureables'!$A:$J,MATCH($A14,'nba.com measureables'!$A:$A,FALSE),7), "")</f>
        <v>0</v>
      </c>
      <c r="R14" s="2">
        <f>IFERROR(INDEX('nba.com measureables'!$A:$J,MATCH($A14,'nba.com measureables'!$A:$A,FALSE),10), "")</f>
        <v>0</v>
      </c>
      <c r="S14" s="2">
        <f>IFERROR(INDEX('nba.com measureables'!$A:$J,MATCH($A14,'nba.com measureables'!$A:$A,FALSE),8), "")</f>
        <v>0</v>
      </c>
      <c r="T14" t="str">
        <f t="shared" ca="1" si="5"/>
        <v xml:space="preserve">  &lt;li&gt;&lt;b&gt;&lt;a _x000D_    target='_blank' _x000D_    href='https://www.sports-reference.com/cbb/players/chuma-okeke-1.html'&gt;Chuma Okeke&lt;/a&gt;&lt;/b&gt; - &lt;i&gt;PF - Auburn&lt;/i&gt;&lt;/li&gt;_x000D_  &lt;ul style='list-style-type:none'&gt;_x000D_    &lt;li&gt;Grade: Sophomore &lt;/li&gt;_x000D_    &lt;li&gt;Age: 20.84 &lt;/li&gt;_x000D_  &lt;/ul&gt;_x000D_&lt;br&gt;</v>
      </c>
    </row>
    <row r="15" spans="1:20">
      <c r="A15" s="4" t="s">
        <v>183</v>
      </c>
      <c r="B15" s="4" t="s">
        <v>221</v>
      </c>
      <c r="C15" s="4" t="s">
        <v>29</v>
      </c>
      <c r="E15" s="5">
        <f t="shared" ca="1" si="0"/>
        <v>19.915775749674054</v>
      </c>
      <c r="F15" s="4" t="str">
        <f t="shared" si="1"/>
        <v/>
      </c>
      <c r="G15" s="4" t="str">
        <f t="shared" si="2"/>
        <v/>
      </c>
      <c r="H15" s="4" t="str">
        <f t="shared" si="3"/>
        <v/>
      </c>
      <c r="I15" s="4" t="str">
        <f t="shared" si="4"/>
        <v/>
      </c>
      <c r="J15" s="4">
        <v>14</v>
      </c>
      <c r="K15" s="4">
        <v>50</v>
      </c>
      <c r="L15" s="6" t="s">
        <v>28</v>
      </c>
      <c r="M15" s="2">
        <v>17</v>
      </c>
      <c r="N15" s="2">
        <v>11</v>
      </c>
      <c r="O15" s="2">
        <v>8</v>
      </c>
      <c r="P15" s="3">
        <v>36361</v>
      </c>
      <c r="Q15" s="2" t="str">
        <f>IFERROR(INDEX('nba.com measureables'!$A:$J,MATCH($A15,'nba.com measureables'!$A:$A,FALSE),7), "")</f>
        <v/>
      </c>
      <c r="R15" s="2" t="str">
        <f>IFERROR(INDEX('nba.com measureables'!$A:$J,MATCH($A15,'nba.com measureables'!$A:$A,FALSE),10), "")</f>
        <v/>
      </c>
      <c r="S15" s="2" t="str">
        <f>IFERROR(INDEX('nba.com measureables'!$A:$J,MATCH($A15,'nba.com measureables'!$A:$A,FALSE),8), "")</f>
        <v/>
      </c>
      <c r="T15" t="str">
        <f t="shared" ca="1" si="5"/>
        <v xml:space="preserve">  &lt;li&gt;&lt;b&gt;&lt;a _x000D_    target='_blank' _x000D_    href='https://www.basketball-reference.com/international/players/goga-bitadze-1.html'&gt;Goga Bitadze&lt;/a&gt;&lt;/b&gt; - &lt;i&gt;C - Buducnost VOLI (Montenegrin Basketball League)&lt;/i&gt;&lt;/li&gt;_x000D_  &lt;ul style='list-style-type:none'&gt;_x000D_    &lt;li&gt;Age: 19.92 &lt;/li&gt;_x000D_  &lt;/ul&gt;_x000D_&lt;br&gt;</v>
      </c>
    </row>
    <row r="16" spans="1:20">
      <c r="A16" s="4" t="s">
        <v>181</v>
      </c>
      <c r="B16" s="4" t="s">
        <v>221</v>
      </c>
      <c r="C16" s="4" t="s">
        <v>227</v>
      </c>
      <c r="D16" s="4" t="s">
        <v>231</v>
      </c>
      <c r="E16" s="5">
        <f t="shared" ca="1" si="0"/>
        <v>19.589960886571056</v>
      </c>
      <c r="F16" s="4">
        <f t="shared" si="1"/>
        <v>86.5</v>
      </c>
      <c r="G16" s="4">
        <f t="shared" si="2"/>
        <v>91</v>
      </c>
      <c r="H16" s="4">
        <f t="shared" si="3"/>
        <v>115.5</v>
      </c>
      <c r="I16" s="4" t="str">
        <f t="shared" si="4"/>
        <v>+4.5</v>
      </c>
      <c r="J16" s="4">
        <v>15</v>
      </c>
      <c r="K16" s="4">
        <v>50</v>
      </c>
      <c r="L16" s="6" t="s">
        <v>43</v>
      </c>
      <c r="M16" s="2">
        <v>14</v>
      </c>
      <c r="N16" s="2">
        <v>10</v>
      </c>
      <c r="P16" s="3">
        <v>36480</v>
      </c>
      <c r="Q16" s="2" t="str">
        <f>IFERROR(INDEX('nba.com measureables'!$A:$J,MATCH($A16,'nba.com measureables'!$A:$A,FALSE),7), "")</f>
        <v>7' 2.5''</v>
      </c>
      <c r="R16" s="2" t="str">
        <f>IFERROR(INDEX('nba.com measureables'!$A:$J,MATCH($A16,'nba.com measureables'!$A:$A,FALSE),10), "")</f>
        <v>7' 7''</v>
      </c>
      <c r="S16" s="2" t="str">
        <f>IFERROR(INDEX('nba.com measureables'!$A:$J,MATCH($A16,'nba.com measureables'!$A:$A,FALSE),8), "")</f>
        <v>9' 7.5''</v>
      </c>
      <c r="T16" t="str">
        <f t="shared" ca="1" si="5"/>
        <v xml:space="preserve">  &lt;li&gt;&lt;b&gt;&lt;a _x000D_    target='_blank' _x000D_    href='https://www.sports-reference.com/cbb/players/bol-bol-1.html'&gt;Bol Bol&lt;/a&gt;&lt;/b&gt; - &lt;i&gt;C - Oregon&lt;/i&gt;&lt;/li&gt;_x000D_  &lt;ul style='list-style-type:none'&gt;_x000D_    &lt;li&gt;Grade: Freshman &lt;/li&gt;_x000D_    &lt;li&gt;Age: 19.59 &lt;/li&gt;_x000D_    &lt;li&gt;Height: 86.5 &lt;/li&gt;_x000D_    &lt;li&gt;Wingspan: 91 &lt;/li&gt;_x000D_    &lt;li&gt;Reach: 115.5 &lt;/li&gt;_x000D_    &lt;li&gt;Ape: +4.5 &lt;/li&gt;_x000D_  &lt;/ul&gt;_x000D_&lt;br&gt;</v>
      </c>
    </row>
    <row r="17" spans="1:20">
      <c r="A17" s="4" t="s">
        <v>197</v>
      </c>
      <c r="B17" s="4" t="s">
        <v>225</v>
      </c>
      <c r="C17" s="4" t="s">
        <v>236</v>
      </c>
      <c r="D17" s="4" t="s">
        <v>231</v>
      </c>
      <c r="E17" s="5">
        <f t="shared" ca="1" si="0"/>
        <v>19.337440109514031</v>
      </c>
      <c r="F17" s="4">
        <f t="shared" si="1"/>
        <v>76.75</v>
      </c>
      <c r="G17" s="4">
        <f t="shared" si="2"/>
        <v>77</v>
      </c>
      <c r="H17" s="4">
        <f t="shared" si="3"/>
        <v>97.5</v>
      </c>
      <c r="I17" s="4" t="str">
        <f t="shared" si="4"/>
        <v>+0.25</v>
      </c>
      <c r="J17" s="4">
        <v>16</v>
      </c>
      <c r="K17" s="4">
        <v>45</v>
      </c>
      <c r="L17" s="6" t="s">
        <v>44</v>
      </c>
      <c r="M17" s="2">
        <v>9</v>
      </c>
      <c r="N17" s="2">
        <v>14</v>
      </c>
      <c r="P17" s="3">
        <v>36572</v>
      </c>
      <c r="Q17" s="2" t="str">
        <f>IFERROR(INDEX('nba.com measureables'!$A:$J,MATCH($A17,'nba.com measureables'!$A:$A,FALSE),7), "")</f>
        <v>6' 4.75''</v>
      </c>
      <c r="R17" s="2" t="str">
        <f>IFERROR(INDEX('nba.com measureables'!$A:$J,MATCH($A17,'nba.com measureables'!$A:$A,FALSE),10), "")</f>
        <v>6' 5''</v>
      </c>
      <c r="S17" s="2" t="str">
        <f>IFERROR(INDEX('nba.com measureables'!$A:$J,MATCH($A17,'nba.com measureables'!$A:$A,FALSE),8), "")</f>
        <v>8' 1.5''</v>
      </c>
      <c r="T17" t="str">
        <f t="shared" ca="1" si="5"/>
        <v xml:space="preserve">  &lt;li&gt;&lt;b&gt;&lt;a _x000D_    target='_blank' _x000D_    href='https://www.sports-reference.com/cbb/players/coby-white-1.html'&gt;Coby White&lt;/a&gt;&lt;/b&gt; - &lt;i&gt;SG - North Carolina&lt;/i&gt;&lt;/li&gt;_x000D_  &lt;ul style='list-style-type:none'&gt;_x000D_    &lt;li&gt;Grade: Freshman &lt;/li&gt;_x000D_    &lt;li&gt;Age: 19.34 &lt;/li&gt;_x000D_    &lt;li&gt;Height: 76.75 &lt;/li&gt;_x000D_    &lt;li&gt;Wingspan: 77 &lt;/li&gt;_x000D_    &lt;li&gt;Reach: 97.5 &lt;/li&gt;_x000D_    &lt;li&gt;Ape: +0.25 &lt;/li&gt;_x000D_  &lt;/ul&gt;_x000D_&lt;br&gt;</v>
      </c>
    </row>
    <row r="18" spans="1:20">
      <c r="A18" s="4" t="s">
        <v>195</v>
      </c>
      <c r="B18" s="4" t="s">
        <v>222</v>
      </c>
      <c r="C18" s="4" t="s">
        <v>228</v>
      </c>
      <c r="D18" s="4" t="s">
        <v>263</v>
      </c>
      <c r="E18" s="5">
        <f t="shared" ca="1" si="0"/>
        <v>22.746064339493497</v>
      </c>
      <c r="F18" s="4">
        <f t="shared" si="1"/>
        <v>80.25</v>
      </c>
      <c r="G18" s="4">
        <f t="shared" si="2"/>
        <v>80.25</v>
      </c>
      <c r="H18" s="4">
        <f t="shared" si="3"/>
        <v>102</v>
      </c>
      <c r="I18" s="4" t="str">
        <f t="shared" si="4"/>
        <v>+0</v>
      </c>
      <c r="J18" s="4">
        <v>17</v>
      </c>
      <c r="K18" s="4">
        <v>45</v>
      </c>
      <c r="L18" s="6" t="s">
        <v>45</v>
      </c>
      <c r="M18" s="2">
        <v>12</v>
      </c>
      <c r="N18" s="2">
        <v>8</v>
      </c>
      <c r="P18" s="3">
        <v>35327</v>
      </c>
      <c r="Q18" s="2" t="str">
        <f>IFERROR(INDEX('nba.com measureables'!$A:$J,MATCH($A18,'nba.com measureables'!$A:$A,FALSE),7), "")</f>
        <v>6' 8.25''</v>
      </c>
      <c r="R18" s="2" t="str">
        <f>IFERROR(INDEX('nba.com measureables'!$A:$J,MATCH($A18,'nba.com measureables'!$A:$A,FALSE),10), "")</f>
        <v>6' 8.25''</v>
      </c>
      <c r="S18" s="2" t="str">
        <f>IFERROR(INDEX('nba.com measureables'!$A:$J,MATCH($A18,'nba.com measureables'!$A:$A,FALSE),8), "")</f>
        <v>8' 6''</v>
      </c>
      <c r="T18" t="str">
        <f t="shared" ca="1" si="5"/>
        <v xml:space="preserve">  &lt;li&gt;&lt;b&gt;&lt;a _x000D_    target='_blank' _x000D_    href='https://www.sports-reference.com/cbb/players/brandon-clarke-1.html'&gt;Brandon Clarke&lt;/a&gt;&lt;/b&gt; - &lt;i&gt;PF - Gonzaga&lt;/i&gt;&lt;/li&gt;_x000D_  &lt;ul style='list-style-type:none'&gt;_x000D_    &lt;li&gt;Grade: Junior &lt;/li&gt;_x000D_    &lt;li&gt;Age: 22.75 &lt;/li&gt;_x000D_    &lt;li&gt;Height: 80.25 &lt;/li&gt;_x000D_    &lt;li&gt;Wingspan: 80.25 &lt;/li&gt;_x000D_    &lt;li&gt;Reach: 102 &lt;/li&gt;_x000D_    &lt;li&gt;Ape: +0 &lt;/li&gt;_x000D_  &lt;/ul&gt;_x000D_&lt;br&gt;</v>
      </c>
    </row>
    <row r="19" spans="1:20">
      <c r="A19" s="4" t="s">
        <v>198</v>
      </c>
      <c r="B19" s="4" t="s">
        <v>225</v>
      </c>
      <c r="C19" s="4" t="s">
        <v>234</v>
      </c>
      <c r="D19" s="4" t="s">
        <v>231</v>
      </c>
      <c r="E19" s="5">
        <f t="shared" ca="1" si="0"/>
        <v>19.411362080766597</v>
      </c>
      <c r="F19" s="4">
        <f t="shared" si="1"/>
        <v>78</v>
      </c>
      <c r="G19" s="4">
        <f t="shared" si="2"/>
        <v>75.25</v>
      </c>
      <c r="H19" s="4">
        <f t="shared" si="3"/>
        <v>100.5</v>
      </c>
      <c r="I19" s="4" t="str">
        <f t="shared" si="4"/>
        <v/>
      </c>
      <c r="J19" s="4">
        <v>18</v>
      </c>
      <c r="K19" s="4">
        <v>45</v>
      </c>
      <c r="L19" s="6" t="s">
        <v>46</v>
      </c>
      <c r="M19" s="2">
        <v>15</v>
      </c>
      <c r="N19" s="2">
        <v>16</v>
      </c>
      <c r="P19" s="3">
        <v>36545</v>
      </c>
      <c r="Q19" s="2" t="str">
        <f>IFERROR(INDEX('nba.com measureables'!$A:$J,MATCH($A19,'nba.com measureables'!$A:$A,FALSE),7), "")</f>
        <v>6' 6''</v>
      </c>
      <c r="R19" s="2" t="str">
        <f>IFERROR(INDEX('nba.com measureables'!$A:$J,MATCH($A19,'nba.com measureables'!$A:$A,FALSE),10), "")</f>
        <v>6' 3.25''</v>
      </c>
      <c r="S19" s="2" t="str">
        <f>IFERROR(INDEX('nba.com measureables'!$A:$J,MATCH($A19,'nba.com measureables'!$A:$A,FALSE),8), "")</f>
        <v>8' 4.5''</v>
      </c>
      <c r="T19" t="str">
        <f t="shared" ca="1" si="5"/>
        <v xml:space="preserve">  &lt;li&gt;&lt;b&gt;&lt;a _x000D_    target='_blank' _x000D_    href='https://www.sports-reference.com/cbb/players/tyler-herro-1.html'&gt;Tyler Herro&lt;/a&gt;&lt;/b&gt; - &lt;i&gt;SG - Kentucky&lt;/i&gt;&lt;/li&gt;_x000D_  &lt;ul style='list-style-type:none'&gt;_x000D_    &lt;li&gt;Grade: Freshman &lt;/li&gt;_x000D_    &lt;li&gt;Age: 19.41 &lt;/li&gt;_x000D_    &lt;li&gt;Height: 78 &lt;/li&gt;_x000D_    &lt;li&gt;Wingspan: 75.25 &lt;/li&gt;_x000D_    &lt;li&gt;Reach: 100.5 &lt;/li&gt;_x000D_  &lt;/ul&gt;_x000D_&lt;br&gt;</v>
      </c>
    </row>
    <row r="20" spans="1:20">
      <c r="A20" s="4" t="s">
        <v>199</v>
      </c>
      <c r="B20" s="4" t="s">
        <v>225</v>
      </c>
      <c r="C20" s="4" t="s">
        <v>255</v>
      </c>
      <c r="D20" s="4" t="s">
        <v>262</v>
      </c>
      <c r="E20" s="5">
        <f t="shared" ca="1" si="0"/>
        <v>20.795270690728064</v>
      </c>
      <c r="F20" s="4">
        <f t="shared" si="1"/>
        <v>77.5</v>
      </c>
      <c r="G20" s="4">
        <f t="shared" si="2"/>
        <v>81.5</v>
      </c>
      <c r="H20" s="4">
        <f t="shared" si="3"/>
        <v>102</v>
      </c>
      <c r="I20" s="4" t="str">
        <f t="shared" si="4"/>
        <v>+4</v>
      </c>
      <c r="J20" s="4">
        <v>19</v>
      </c>
      <c r="K20" s="4">
        <v>45</v>
      </c>
      <c r="L20" s="6" t="s">
        <v>47</v>
      </c>
      <c r="M20" s="2">
        <v>18</v>
      </c>
      <c r="N20" s="2">
        <v>17</v>
      </c>
      <c r="P20" s="3">
        <v>36040</v>
      </c>
      <c r="Q20" s="2" t="str">
        <f>IFERROR(INDEX('nba.com measureables'!$A:$J,MATCH($A20,'nba.com measureables'!$A:$A,FALSE),7), "")</f>
        <v>6' 5.5''</v>
      </c>
      <c r="R20" s="2" t="str">
        <f>IFERROR(INDEX('nba.com measureables'!$A:$J,MATCH($A20,'nba.com measureables'!$A:$A,FALSE),10), "")</f>
        <v>6' 9.5''</v>
      </c>
      <c r="S20" s="2" t="str">
        <f>IFERROR(INDEX('nba.com measureables'!$A:$J,MATCH($A20,'nba.com measureables'!$A:$A,FALSE),8), "")</f>
        <v>8' 6''</v>
      </c>
      <c r="T20" t="str">
        <f t="shared" ca="1" si="5"/>
        <v xml:space="preserve">  &lt;li&gt;&lt;b&gt;&lt;a _x000D_    target='_blank' _x000D_    href='https://www.sports-reference.com/cbb/players/nickeil-alexander-walker-1.html'&gt;Nickeil Alexander-Walker&lt;/a&gt;&lt;/b&gt; - &lt;i&gt;SG - Virginia Tech&lt;/i&gt;&lt;/li&gt;_x000D_  &lt;ul style='list-style-type:none'&gt;_x000D_    &lt;li&gt;Grade: Sophomore &lt;/li&gt;_x000D_    &lt;li&gt;Age: 20.8 &lt;/li&gt;_x000D_    &lt;li&gt;Height: 77.5 &lt;/li&gt;_x000D_    &lt;li&gt;Wingspan: 81.5 &lt;/li&gt;_x000D_    &lt;li&gt;Reach: 102 &lt;/li&gt;_x000D_    &lt;li&gt;Ape: +4 &lt;/li&gt;_x000D_  &lt;/ul&gt;_x000D_&lt;br&gt;</v>
      </c>
    </row>
    <row r="21" spans="1:20">
      <c r="A21" s="4" t="s">
        <v>203</v>
      </c>
      <c r="B21" s="4" t="s">
        <v>223</v>
      </c>
      <c r="C21" s="4" t="s">
        <v>236</v>
      </c>
      <c r="D21" s="4" t="s">
        <v>231</v>
      </c>
      <c r="E21" s="5">
        <f t="shared" ca="1" si="0"/>
        <v>19.351129363449694</v>
      </c>
      <c r="F21" s="4">
        <f t="shared" si="1"/>
        <v>78</v>
      </c>
      <c r="G21" s="4">
        <f t="shared" si="2"/>
        <v>85.25</v>
      </c>
      <c r="H21" s="4">
        <f t="shared" si="3"/>
        <v>104.5</v>
      </c>
      <c r="I21" s="4" t="str">
        <f t="shared" si="4"/>
        <v>+7.25</v>
      </c>
      <c r="J21" s="4">
        <v>20</v>
      </c>
      <c r="K21" s="4">
        <v>45</v>
      </c>
      <c r="L21" s="6" t="s">
        <v>48</v>
      </c>
      <c r="M21" s="2">
        <v>10</v>
      </c>
      <c r="N21" s="2">
        <v>22</v>
      </c>
      <c r="P21" s="3">
        <v>36567</v>
      </c>
      <c r="Q21" s="2" t="str">
        <f>IFERROR(INDEX('nba.com measureables'!$A:$J,MATCH($A21,'nba.com measureables'!$A:$A,FALSE),7), "")</f>
        <v>6' 6''</v>
      </c>
      <c r="R21" s="2" t="str">
        <f>IFERROR(INDEX('nba.com measureables'!$A:$J,MATCH($A21,'nba.com measureables'!$A:$A,FALSE),10), "")</f>
        <v>7' 1.25''</v>
      </c>
      <c r="S21" s="2" t="str">
        <f>IFERROR(INDEX('nba.com measureables'!$A:$J,MATCH($A21,'nba.com measureables'!$A:$A,FALSE),8), "")</f>
        <v>8' 8.5''</v>
      </c>
      <c r="T21" t="str">
        <f t="shared" ca="1" si="5"/>
        <v xml:space="preserve">  &lt;li&gt;&lt;b&gt;&lt;a _x000D_    target='_blank' _x000D_    href='https://www.sports-reference.com/cbb/players/nassir-little-1.html'&gt;Nassir Little&lt;/a&gt;&lt;/b&gt; - &lt;i&gt;SF - North Carolina&lt;/i&gt;&lt;/li&gt;_x000D_  &lt;ul style='list-style-type:none'&gt;_x000D_    &lt;li&gt;Grade: Freshman &lt;/li&gt;_x000D_    &lt;li&gt;Age: 19.35 &lt;/li&gt;_x000D_    &lt;li&gt;Height: 78 &lt;/li&gt;_x000D_    &lt;li&gt;Wingspan: 85.25 &lt;/li&gt;_x000D_    &lt;li&gt;Reach: 104.5 &lt;/li&gt;_x000D_    &lt;li&gt;Ape: +7.25 &lt;/li&gt;_x000D_  &lt;/ul&gt;_x000D_&lt;br&gt;</v>
      </c>
    </row>
    <row r="22" spans="1:20">
      <c r="A22" s="4" t="s">
        <v>201</v>
      </c>
      <c r="B22" s="4" t="s">
        <v>223</v>
      </c>
      <c r="C22" s="4" t="s">
        <v>257</v>
      </c>
      <c r="D22" s="7" t="s">
        <v>231</v>
      </c>
      <c r="E22" s="5">
        <f t="shared" ca="1" si="0"/>
        <v>19.650195567144721</v>
      </c>
      <c r="F22" s="4">
        <f t="shared" si="1"/>
        <v>78</v>
      </c>
      <c r="G22" s="4">
        <f t="shared" si="2"/>
        <v>83</v>
      </c>
      <c r="H22" s="4">
        <f t="shared" si="3"/>
        <v>103</v>
      </c>
      <c r="I22" s="4" t="str">
        <f t="shared" si="4"/>
        <v>+5</v>
      </c>
      <c r="J22" s="4">
        <v>21</v>
      </c>
      <c r="K22" s="4">
        <v>45</v>
      </c>
      <c r="L22" s="6" t="s">
        <v>49</v>
      </c>
      <c r="M22" s="2">
        <v>13</v>
      </c>
      <c r="N22" s="2">
        <v>20</v>
      </c>
      <c r="P22" s="3">
        <v>36458</v>
      </c>
      <c r="Q22" s="2" t="str">
        <f>IFERROR(INDEX('nba.com measureables'!$A:$J,MATCH($A22,'nba.com measureables'!$A:$A,FALSE),7), "")</f>
        <v>6' 6''</v>
      </c>
      <c r="R22" s="2" t="str">
        <f>IFERROR(INDEX('nba.com measureables'!$A:$J,MATCH($A22,'nba.com measureables'!$A:$A,FALSE),10), "")</f>
        <v>6' 11''</v>
      </c>
      <c r="S22" s="2" t="str">
        <f>IFERROR(INDEX('nba.com measureables'!$A:$J,MATCH($A22,'nba.com measureables'!$A:$A,FALSE),8), "")</f>
        <v>8' 7''</v>
      </c>
      <c r="T22" t="str">
        <f t="shared" ca="1" si="5"/>
        <v xml:space="preserve">  &lt;li&gt;&lt;b&gt;&lt;a _x000D_    target='_blank' _x000D_    href='https://www.sports-reference.com/cbb/players/romeo-langford-1.html'&gt;Romeo Langford&lt;/a&gt;&lt;/b&gt; - &lt;i&gt;SF - Indiana&lt;/i&gt;&lt;/li&gt;_x000D_  &lt;ul style='list-style-type:none'&gt;_x000D_    &lt;li&gt;Grade: Freshman &lt;/li&gt;_x000D_    &lt;li&gt;Age: 19.65 &lt;/li&gt;_x000D_    &lt;li&gt;Height: 78 &lt;/li&gt;_x000D_    &lt;li&gt;Wingspan: 83 &lt;/li&gt;_x000D_    &lt;li&gt;Reach: 103 &lt;/li&gt;_x000D_    &lt;li&gt;Ape: +5 &lt;/li&gt;_x000D_  &lt;/ul&gt;_x000D_&lt;br&gt;</v>
      </c>
    </row>
    <row r="23" spans="1:20">
      <c r="A23" s="4" t="s">
        <v>209</v>
      </c>
      <c r="B23" s="4" t="s">
        <v>222</v>
      </c>
      <c r="C23" s="4" t="s">
        <v>241</v>
      </c>
      <c r="D23" s="4" t="s">
        <v>262</v>
      </c>
      <c r="E23" s="5">
        <f t="shared" ca="1" si="0"/>
        <v>21.548809523809524</v>
      </c>
      <c r="F23" s="4" t="str">
        <f t="shared" si="1"/>
        <v/>
      </c>
      <c r="G23" s="4" t="str">
        <f t="shared" si="2"/>
        <v/>
      </c>
      <c r="H23" s="4" t="str">
        <f t="shared" si="3"/>
        <v/>
      </c>
      <c r="I23" s="4" t="str">
        <f t="shared" si="4"/>
        <v/>
      </c>
      <c r="J23" s="4">
        <v>22</v>
      </c>
      <c r="K23" s="4">
        <v>45</v>
      </c>
      <c r="L23" s="6" t="s">
        <v>50</v>
      </c>
      <c r="M23" s="2">
        <v>5</v>
      </c>
      <c r="N23" s="2">
        <v>29</v>
      </c>
      <c r="P23" s="3">
        <v>35765</v>
      </c>
      <c r="Q23" s="2">
        <f>IFERROR(INDEX('nba.com measureables'!$A:$J,MATCH($A23,'nba.com measureables'!$A:$A,FALSE),7), "")</f>
        <v>0</v>
      </c>
      <c r="R23" s="2">
        <f>IFERROR(INDEX('nba.com measureables'!$A:$J,MATCH($A23,'nba.com measureables'!$A:$A,FALSE),10), "")</f>
        <v>0</v>
      </c>
      <c r="S23" s="2">
        <f>IFERROR(INDEX('nba.com measureables'!$A:$J,MATCH($A23,'nba.com measureables'!$A:$A,FALSE),8), "")</f>
        <v>0</v>
      </c>
      <c r="T23" t="str">
        <f t="shared" ca="1" si="5"/>
        <v xml:space="preserve">  &lt;li&gt;&lt;b&gt;&lt;a _x000D_    target='_blank' _x000D_    href='https://www.sports-reference.com/cbb/players/deandre-hunter-1.html'&gt;DeAndre Hunter&lt;/a&gt;&lt;/b&gt; - &lt;i&gt;PF - Virginia&lt;/i&gt;&lt;/li&gt;_x000D_  &lt;ul style='list-style-type:none'&gt;_x000D_    &lt;li&gt;Grade: Sophomore &lt;/li&gt;_x000D_    &lt;li&gt;Age: 21.55 &lt;/li&gt;_x000D_  &lt;/ul&gt;_x000D_&lt;br&gt;</v>
      </c>
    </row>
    <row r="24" spans="1:20">
      <c r="A24" s="4" t="s">
        <v>180</v>
      </c>
      <c r="B24" s="4" t="s">
        <v>225</v>
      </c>
      <c r="C24" s="4" t="s">
        <v>241</v>
      </c>
      <c r="D24" s="4" t="s">
        <v>263</v>
      </c>
      <c r="E24" s="5">
        <f t="shared" ca="1" si="0"/>
        <v>21.94857142857143</v>
      </c>
      <c r="F24" s="4">
        <f t="shared" si="1"/>
        <v>77.5</v>
      </c>
      <c r="G24" s="4">
        <f t="shared" si="2"/>
        <v>76</v>
      </c>
      <c r="H24" s="4">
        <f t="shared" si="3"/>
        <v>98</v>
      </c>
      <c r="I24" s="4" t="str">
        <f t="shared" si="4"/>
        <v/>
      </c>
      <c r="J24" s="4">
        <v>23</v>
      </c>
      <c r="K24" s="4">
        <v>45</v>
      </c>
      <c r="L24" s="6" t="s">
        <v>51</v>
      </c>
      <c r="M24" s="2">
        <v>25</v>
      </c>
      <c r="N24" s="2">
        <v>30</v>
      </c>
      <c r="P24" s="3">
        <v>35619</v>
      </c>
      <c r="Q24" s="2" t="str">
        <f>IFERROR(INDEX('nba.com measureables'!$A:$J,MATCH($A24,'nba.com measureables'!$A:$A,FALSE),7), "")</f>
        <v>6' 5.5''</v>
      </c>
      <c r="R24" s="2" t="str">
        <f>IFERROR(INDEX('nba.com measureables'!$A:$J,MATCH($A24,'nba.com measureables'!$A:$A,FALSE),10), "")</f>
        <v>6' 4''</v>
      </c>
      <c r="S24" s="2" t="str">
        <f>IFERROR(INDEX('nba.com measureables'!$A:$J,MATCH($A24,'nba.com measureables'!$A:$A,FALSE),8), "")</f>
        <v>8' 2''</v>
      </c>
      <c r="T24" t="str">
        <f t="shared" ca="1" si="5"/>
        <v xml:space="preserve">  &lt;li&gt;&lt;b&gt;&lt;a _x000D_    target='_blank' _x000D_    href='https://www.sports-reference.com/cbb/players/ty-jerome-1.html'&gt;Ty Jerome&lt;/a&gt;&lt;/b&gt; - &lt;i&gt;SG - Virginia&lt;/i&gt;&lt;/li&gt;_x000D_  &lt;ul style='list-style-type:none'&gt;_x000D_    &lt;li&gt;Grade: Junior &lt;/li&gt;_x000D_    &lt;li&gt;Age: 21.95 &lt;/li&gt;_x000D_    &lt;li&gt;Height: 77.5 &lt;/li&gt;_x000D_    &lt;li&gt;Wingspan: 76 &lt;/li&gt;_x000D_    &lt;li&gt;Reach: 98 &lt;/li&gt;_x000D_  &lt;/ul&gt;_x000D_&lt;br&gt;</v>
      </c>
    </row>
    <row r="25" spans="1:20">
      <c r="A25" s="4" t="s">
        <v>200</v>
      </c>
      <c r="B25" s="4" t="s">
        <v>222</v>
      </c>
      <c r="C25" s="4" t="s">
        <v>258</v>
      </c>
      <c r="E25" s="5">
        <f t="shared" ca="1" si="0"/>
        <v>18.48596851471595</v>
      </c>
      <c r="F25" s="4" t="str">
        <f t="shared" si="1"/>
        <v/>
      </c>
      <c r="G25" s="4" t="str">
        <f t="shared" si="2"/>
        <v/>
      </c>
      <c r="H25" s="4" t="str">
        <f t="shared" si="3"/>
        <v/>
      </c>
      <c r="I25" s="4" t="str">
        <f t="shared" si="4"/>
        <v/>
      </c>
      <c r="J25" s="4">
        <v>24</v>
      </c>
      <c r="K25" s="4">
        <v>45</v>
      </c>
      <c r="L25" s="6" t="s">
        <v>52</v>
      </c>
      <c r="M25" s="2">
        <v>8</v>
      </c>
      <c r="N25" s="2">
        <v>18</v>
      </c>
      <c r="P25" s="3">
        <v>36883</v>
      </c>
      <c r="Q25" s="2" t="str">
        <f>IFERROR(INDEX('nba.com measureables'!$A:$J,MATCH($A25,'nba.com measureables'!$A:$A,FALSE),7), "")</f>
        <v/>
      </c>
      <c r="R25" s="2" t="str">
        <f>IFERROR(INDEX('nba.com measureables'!$A:$J,MATCH($A25,'nba.com measureables'!$A:$A,FALSE),10), "")</f>
        <v/>
      </c>
      <c r="S25" s="2" t="str">
        <f>IFERROR(INDEX('nba.com measureables'!$A:$J,MATCH($A25,'nba.com measureables'!$A:$A,FALSE),8), "")</f>
        <v/>
      </c>
      <c r="T25" t="str">
        <f t="shared" ca="1" si="5"/>
        <v xml:space="preserve">  &lt;li&gt;&lt;b&gt;&lt;a _x000D_    target='_blank' _x000D_    href='https://www.basketball-reference.com/international/players/sekou-omar-doumbouya-1.html'&gt;Sekou Doumbouya&lt;/a&gt;&lt;/b&gt; - &lt;i&gt;PF - Guinea&lt;/i&gt;&lt;/li&gt;_x000D_  &lt;ul style='list-style-type:none'&gt;_x000D_    &lt;li&gt;Age: 18.49 &lt;/li&gt;_x000D_  &lt;/ul&gt;_x000D_&lt;br&gt;</v>
      </c>
    </row>
    <row r="26" spans="1:20">
      <c r="A26" s="4" t="s">
        <v>204</v>
      </c>
      <c r="B26" s="4" t="s">
        <v>223</v>
      </c>
      <c r="C26" s="4" t="s">
        <v>251</v>
      </c>
      <c r="D26" s="4" t="s">
        <v>262</v>
      </c>
      <c r="E26" s="5">
        <f t="shared" ca="1" si="0"/>
        <v>20.143024771838331</v>
      </c>
      <c r="F26" s="4">
        <f t="shared" si="1"/>
        <v>81.5</v>
      </c>
      <c r="G26" s="4">
        <f t="shared" si="2"/>
        <v>85.75</v>
      </c>
      <c r="H26" s="4">
        <f t="shared" si="3"/>
        <v>106.5</v>
      </c>
      <c r="I26" s="4" t="str">
        <f t="shared" si="4"/>
        <v>+4.25</v>
      </c>
      <c r="J26" s="4">
        <v>25</v>
      </c>
      <c r="K26" s="4">
        <v>45</v>
      </c>
      <c r="L26" s="6" t="s">
        <v>53</v>
      </c>
      <c r="M26" s="2">
        <v>24</v>
      </c>
      <c r="N26" s="2">
        <v>23</v>
      </c>
      <c r="P26" s="3">
        <v>36278</v>
      </c>
      <c r="Q26" s="2" t="str">
        <f>IFERROR(INDEX('nba.com measureables'!$A:$J,MATCH($A26,'nba.com measureables'!$A:$A,FALSE),7), "")</f>
        <v>6' 9.5''</v>
      </c>
      <c r="R26" s="2" t="str">
        <f>IFERROR(INDEX('nba.com measureables'!$A:$J,MATCH($A26,'nba.com measureables'!$A:$A,FALSE),10), "")</f>
        <v>7' 1.75''</v>
      </c>
      <c r="S26" s="2" t="str">
        <f>IFERROR(INDEX('nba.com measureables'!$A:$J,MATCH($A26,'nba.com measureables'!$A:$A,FALSE),8), "")</f>
        <v>8' 10.5''</v>
      </c>
      <c r="T26" t="str">
        <f t="shared" ca="1" si="5"/>
        <v xml:space="preserve">  &lt;li&gt;&lt;b&gt;&lt;a _x000D_    target='_blank' _x000D_    href='https://www.sports-reference.com/cbb/players/kezie-okpala-1.html'&gt;KZ Okpala&lt;/a&gt;&lt;/b&gt; - &lt;i&gt;SF - Stanford&lt;/i&gt;&lt;/li&gt;_x000D_  &lt;ul style='list-style-type:none'&gt;_x000D_    &lt;li&gt;Grade: Sophomore &lt;/li&gt;_x000D_    &lt;li&gt;Age: 20.14 &lt;/li&gt;_x000D_    &lt;li&gt;Height: 81.5 &lt;/li&gt;_x000D_    &lt;li&gt;Wingspan: 85.75 &lt;/li&gt;_x000D_    &lt;li&gt;Reach: 106.5 &lt;/li&gt;_x000D_    &lt;li&gt;Ape: +4.25 &lt;/li&gt;_x000D_  &lt;/ul&gt;_x000D_&lt;br&gt;</v>
      </c>
    </row>
    <row r="27" spans="1:20">
      <c r="A27" s="4" t="s">
        <v>212</v>
      </c>
      <c r="B27" s="4" t="s">
        <v>222</v>
      </c>
      <c r="C27" s="4" t="s">
        <v>228</v>
      </c>
      <c r="D27" s="4" t="s">
        <v>263</v>
      </c>
      <c r="E27" s="5">
        <f t="shared" ca="1" si="0"/>
        <v>21.359303049159923</v>
      </c>
      <c r="F27" s="4" t="str">
        <f t="shared" si="1"/>
        <v/>
      </c>
      <c r="G27" s="4" t="str">
        <f t="shared" si="2"/>
        <v/>
      </c>
      <c r="H27" s="4" t="str">
        <f t="shared" si="3"/>
        <v/>
      </c>
      <c r="I27" s="4" t="str">
        <f t="shared" si="4"/>
        <v/>
      </c>
      <c r="J27" s="4">
        <v>26</v>
      </c>
      <c r="K27" s="4">
        <v>45</v>
      </c>
      <c r="L27" s="6" t="s">
        <v>0</v>
      </c>
      <c r="M27" s="2">
        <v>20</v>
      </c>
      <c r="N27" s="2">
        <v>34</v>
      </c>
      <c r="P27" s="3">
        <v>35834</v>
      </c>
      <c r="Q27" s="2" t="str">
        <f>IFERROR(INDEX('nba.com measureables'!$A:$J,MATCH($A27,'nba.com measureables'!$A:$A,FALSE),7), "")</f>
        <v/>
      </c>
      <c r="R27" s="2" t="str">
        <f>IFERROR(INDEX('nba.com measureables'!$A:$J,MATCH($A27,'nba.com measureables'!$A:$A,FALSE),10), "")</f>
        <v/>
      </c>
      <c r="S27" s="2" t="str">
        <f>IFERROR(INDEX('nba.com measureables'!$A:$J,MATCH($A27,'nba.com measureables'!$A:$A,FALSE),8), "")</f>
        <v/>
      </c>
      <c r="T27" t="str">
        <f t="shared" ca="1" si="5"/>
        <v xml:space="preserve">  &lt;li&gt;&lt;b&gt;&lt;a _x000D_    target='_blank' _x000D_    href='https://www.sports-reference.com/cbb/players/rui-hachimura-1.html'&gt;Rui Hachimura&lt;/a&gt;&lt;/b&gt; - &lt;i&gt;PF - Gonzaga&lt;/i&gt;&lt;/li&gt;_x000D_  &lt;ul style='list-style-type:none'&gt;_x000D_    &lt;li&gt;Grade: Junior &lt;/li&gt;_x000D_    &lt;li&gt;Age: 21.36 &lt;/li&gt;_x000D_  &lt;/ul&gt;_x000D_&lt;br&gt;</v>
      </c>
    </row>
    <row r="28" spans="1:20">
      <c r="A28" s="4" t="s">
        <v>219</v>
      </c>
      <c r="B28" s="4" t="s">
        <v>224</v>
      </c>
      <c r="C28" s="4" t="s">
        <v>237</v>
      </c>
      <c r="D28" s="4" t="s">
        <v>263</v>
      </c>
      <c r="E28" s="5">
        <f t="shared" ca="1" si="0"/>
        <v>21.271686372121966</v>
      </c>
      <c r="F28" s="4">
        <f t="shared" si="1"/>
        <v>72.25</v>
      </c>
      <c r="G28" s="4">
        <f t="shared" si="2"/>
        <v>78</v>
      </c>
      <c r="H28" s="4">
        <f t="shared" si="3"/>
        <v>94.5</v>
      </c>
      <c r="I28" s="4" t="str">
        <f t="shared" si="4"/>
        <v>+5.75</v>
      </c>
      <c r="J28" s="4">
        <v>27</v>
      </c>
      <c r="K28" s="4">
        <v>45</v>
      </c>
      <c r="L28" s="6" t="s">
        <v>1</v>
      </c>
      <c r="M28" s="2">
        <v>36</v>
      </c>
      <c r="P28" s="3">
        <v>35866</v>
      </c>
      <c r="Q28" s="2" t="str">
        <f>IFERROR(INDEX('nba.com measureables'!$A:$J,MATCH($A28,'nba.com measureables'!$A:$A,FALSE),7), "")</f>
        <v>6' 0.25''</v>
      </c>
      <c r="R28" s="2" t="str">
        <f>IFERROR(INDEX('nba.com measureables'!$A:$J,MATCH($A28,'nba.com measureables'!$A:$A,FALSE),10), "")</f>
        <v>6' 6''</v>
      </c>
      <c r="S28" s="2" t="str">
        <f>IFERROR(INDEX('nba.com measureables'!$A:$J,MATCH($A28,'nba.com measureables'!$A:$A,FALSE),8), "")</f>
        <v>7' 10.5''</v>
      </c>
      <c r="T28" t="str">
        <f t="shared" ca="1" si="5"/>
        <v xml:space="preserve">  &lt;li&gt;&lt;b&gt;&lt;a _x000D_    target='_blank' _x000D_    href='https://www.sports-reference.com/cbb/players/carsen-edwards-1.html'&gt;Carsen Edwards&lt;/a&gt;&lt;/b&gt; - &lt;i&gt;PG - Purdue&lt;/i&gt;&lt;/li&gt;_x000D_  &lt;ul style='list-style-type:none'&gt;_x000D_    &lt;li&gt;Grade: Junior &lt;/li&gt;_x000D_    &lt;li&gt;Age: 21.27 &lt;/li&gt;_x000D_    &lt;li&gt;Height: 72.25 &lt;/li&gt;_x000D_    &lt;li&gt;Wingspan: 78 &lt;/li&gt;_x000D_    &lt;li&gt;Reach: 94.5 &lt;/li&gt;_x000D_    &lt;li&gt;Ape: +5.75 &lt;/li&gt;_x000D_  &lt;/ul&gt;_x000D_&lt;br&gt;</v>
      </c>
    </row>
    <row r="29" spans="1:20">
      <c r="A29" s="4" t="s">
        <v>261</v>
      </c>
      <c r="B29" s="4" t="s">
        <v>223</v>
      </c>
      <c r="C29" s="4" t="s">
        <v>243</v>
      </c>
      <c r="D29" s="4" t="s">
        <v>264</v>
      </c>
      <c r="E29" s="5">
        <f t="shared" ca="1" si="0"/>
        <v>22.222380952380952</v>
      </c>
      <c r="F29" s="4">
        <f t="shared" si="1"/>
        <v>77.25</v>
      </c>
      <c r="G29" s="4">
        <f t="shared" si="2"/>
        <v>81.75</v>
      </c>
      <c r="H29" s="4">
        <f t="shared" si="3"/>
        <v>102.5</v>
      </c>
      <c r="I29" s="4" t="str">
        <f t="shared" si="4"/>
        <v>+4.5</v>
      </c>
      <c r="J29" s="4" t="s">
        <v>27</v>
      </c>
      <c r="K29" s="4">
        <v>40</v>
      </c>
      <c r="L29" s="6" t="s">
        <v>13</v>
      </c>
      <c r="M29" s="2">
        <v>37</v>
      </c>
      <c r="P29" s="3">
        <v>35519</v>
      </c>
      <c r="Q29" s="2" t="str">
        <f>IFERROR(INDEX('nba.com measureables'!$A:$J,MATCH($A29,'nba.com measureables'!$A:$A,FALSE),7), "")</f>
        <v>6' 5.25''</v>
      </c>
      <c r="R29" s="2" t="str">
        <f>IFERROR(INDEX('nba.com measureables'!$A:$J,MATCH($A29,'nba.com measureables'!$A:$A,FALSE),10), "")</f>
        <v>6' 9.75''</v>
      </c>
      <c r="S29" s="2" t="str">
        <f>IFERROR(INDEX('nba.com measureables'!$A:$J,MATCH($A29,'nba.com measureables'!$A:$A,FALSE),8), "")</f>
        <v>8' 6.5''</v>
      </c>
      <c r="T29" t="str">
        <f t="shared" ca="1" si="5"/>
        <v xml:space="preserve">  &lt;li&gt;&lt;b&gt;&lt;a _x000D_    target='_blank' _x000D_    href='https://www.sports-reference.com/cbb/players/admiral-schofield-1.html'&gt;Admiral Schofield&lt;/a&gt;&lt;/b&gt; - &lt;i&gt;SF - Tennessee&lt;/i&gt;&lt;/li&gt;_x000D_  &lt;ul style='list-style-type:none'&gt;_x000D_    &lt;li&gt;Grade: Senior &lt;/li&gt;_x000D_    &lt;li&gt;Age: 22.22 &lt;/li&gt;_x000D_    &lt;li&gt;Height: 77.25 &lt;/li&gt;_x000D_    &lt;li&gt;Wingspan: 81.75 &lt;/li&gt;_x000D_    &lt;li&gt;Reach: 102.5 &lt;/li&gt;_x000D_    &lt;li&gt;Ape: +4.5 &lt;/li&gt;_x000D_  &lt;/ul&gt;_x000D_&lt;br&gt;</v>
      </c>
    </row>
    <row r="30" spans="1:20">
      <c r="A30" s="4" t="s">
        <v>202</v>
      </c>
      <c r="B30" s="4" t="s">
        <v>221</v>
      </c>
      <c r="C30" s="4" t="s">
        <v>233</v>
      </c>
      <c r="D30" s="4" t="s">
        <v>262</v>
      </c>
      <c r="E30" s="5">
        <f t="shared" ca="1" si="0"/>
        <v>20.844555071561917</v>
      </c>
      <c r="F30" s="4">
        <f t="shared" si="1"/>
        <v>82.25</v>
      </c>
      <c r="G30" s="4">
        <f t="shared" si="2"/>
        <v>87.25</v>
      </c>
      <c r="H30" s="4">
        <f t="shared" si="3"/>
        <v>110</v>
      </c>
      <c r="I30" s="4" t="str">
        <f t="shared" si="4"/>
        <v>+5</v>
      </c>
      <c r="J30" s="4" t="s">
        <v>27</v>
      </c>
      <c r="K30" s="4">
        <v>40</v>
      </c>
      <c r="L30" s="6" t="s">
        <v>12</v>
      </c>
      <c r="M30" s="2">
        <v>35</v>
      </c>
      <c r="N30" s="2">
        <v>21</v>
      </c>
      <c r="P30" s="3">
        <v>36022</v>
      </c>
      <c r="Q30" s="2" t="str">
        <f>IFERROR(INDEX('nba.com measureables'!$A:$J,MATCH($A30,'nba.com measureables'!$A:$A,FALSE),7), "")</f>
        <v>6' 10.25''</v>
      </c>
      <c r="R30" s="2" t="str">
        <f>IFERROR(INDEX('nba.com measureables'!$A:$J,MATCH($A30,'nba.com measureables'!$A:$A,FALSE),10), "")</f>
        <v>7' 3.25''</v>
      </c>
      <c r="S30" s="2" t="str">
        <f>IFERROR(INDEX('nba.com measureables'!$A:$J,MATCH($A30,'nba.com measureables'!$A:$A,FALSE),8), "")</f>
        <v>9' 2''</v>
      </c>
      <c r="T30" t="str">
        <f t="shared" ca="1" si="5"/>
        <v xml:space="preserve">  &lt;li&gt;&lt;b&gt;&lt;a _x000D_    target='_blank' _x000D_    href='https://www.sports-reference.com/cbb/players/bruno-fernando-1.html'&gt;Bruno Fernando&lt;/a&gt;&lt;/b&gt; - &lt;i&gt;C - Maryland&lt;/i&gt;&lt;/li&gt;_x000D_  &lt;ul style='list-style-type:none'&gt;_x000D_    &lt;li&gt;Grade: Sophomore &lt;/li&gt;_x000D_    &lt;li&gt;Age: 20.84 &lt;/li&gt;_x000D_    &lt;li&gt;Height: 82.25 &lt;/li&gt;_x000D_    &lt;li&gt;Wingspan: 87.25 &lt;/li&gt;_x000D_    &lt;li&gt;Reach: 110 &lt;/li&gt;_x000D_    &lt;li&gt;Ape: +5 &lt;/li&gt;_x000D_  &lt;/ul&gt;_x000D_&lt;br&gt;</v>
      </c>
    </row>
    <row r="31" spans="1:20">
      <c r="A31" s="4" t="s">
        <v>213</v>
      </c>
      <c r="B31" s="4" t="s">
        <v>222</v>
      </c>
      <c r="C31" s="4" t="s">
        <v>236</v>
      </c>
      <c r="D31" s="4" t="s">
        <v>264</v>
      </c>
      <c r="E31" s="5">
        <f t="shared" ca="1" si="0"/>
        <v>23.293634496919918</v>
      </c>
      <c r="F31" s="4">
        <f t="shared" si="1"/>
        <v>80.5</v>
      </c>
      <c r="G31" s="4">
        <f t="shared" si="2"/>
        <v>82</v>
      </c>
      <c r="H31" s="4">
        <f t="shared" si="3"/>
        <v>103</v>
      </c>
      <c r="I31" s="4" t="str">
        <f t="shared" si="4"/>
        <v>+1.5</v>
      </c>
      <c r="J31" s="4" t="s">
        <v>27</v>
      </c>
      <c r="K31" s="4">
        <v>40</v>
      </c>
      <c r="L31" s="6" t="s">
        <v>2</v>
      </c>
      <c r="M31" s="2">
        <v>19</v>
      </c>
      <c r="N31" s="2">
        <v>38</v>
      </c>
      <c r="P31" s="3">
        <v>35127</v>
      </c>
      <c r="Q31" s="2" t="str">
        <f>IFERROR(INDEX('nba.com measureables'!$A:$J,MATCH($A31,'nba.com measureables'!$A:$A,FALSE),7), "")</f>
        <v>6' 8.5''</v>
      </c>
      <c r="R31" s="2" t="str">
        <f>IFERROR(INDEX('nba.com measureables'!$A:$J,MATCH($A31,'nba.com measureables'!$A:$A,FALSE),10), "")</f>
        <v>6' 10''</v>
      </c>
      <c r="S31" s="2" t="str">
        <f>IFERROR(INDEX('nba.com measureables'!$A:$J,MATCH($A31,'nba.com measureables'!$A:$A,FALSE),8), "")</f>
        <v>8' 7''</v>
      </c>
      <c r="T31" t="str">
        <f t="shared" ca="1" si="5"/>
        <v xml:space="preserve">  &lt;li&gt;&lt;b&gt;&lt;a _x000D_    target='_blank' _x000D_    href='https://www.sports-reference.com/cbb/players/cameron-johnson-4.html'&gt;Cameron Johnson&lt;/a&gt;&lt;/b&gt; - &lt;i&gt;PF - North Carolina&lt;/i&gt;&lt;/li&gt;_x000D_  &lt;ul style='list-style-type:none'&gt;_x000D_    &lt;li&gt;Grade: Senior &lt;/li&gt;_x000D_    &lt;li&gt;Age: 23.29 &lt;/li&gt;_x000D_    &lt;li&gt;Height: 80.5 &lt;/li&gt;_x000D_    &lt;li&gt;Wingspan: 82 &lt;/li&gt;_x000D_    &lt;li&gt;Reach: 103 &lt;/li&gt;_x000D_    &lt;li&gt;Ape: +1.5 &lt;/li&gt;_x000D_  &lt;/ul&gt;_x000D_&lt;br&gt;</v>
      </c>
    </row>
    <row r="32" spans="1:20">
      <c r="A32" s="4" t="s">
        <v>207</v>
      </c>
      <c r="B32" s="4" t="s">
        <v>221</v>
      </c>
      <c r="C32" s="4" t="s">
        <v>239</v>
      </c>
      <c r="D32" s="4" t="s">
        <v>262</v>
      </c>
      <c r="E32" s="5">
        <f t="shared" ca="1" si="0"/>
        <v>20.715868077162412</v>
      </c>
      <c r="F32" s="4">
        <f t="shared" si="1"/>
        <v>82.5</v>
      </c>
      <c r="G32" s="4">
        <f t="shared" si="2"/>
        <v>86.25</v>
      </c>
      <c r="H32" s="4">
        <f t="shared" si="3"/>
        <v>110</v>
      </c>
      <c r="I32" s="4" t="str">
        <f t="shared" si="4"/>
        <v>+3.75</v>
      </c>
      <c r="J32" s="4" t="s">
        <v>27</v>
      </c>
      <c r="K32" s="4">
        <v>40</v>
      </c>
      <c r="L32" s="6" t="s">
        <v>14</v>
      </c>
      <c r="M32" s="2">
        <v>41</v>
      </c>
      <c r="N32" s="2">
        <v>26</v>
      </c>
      <c r="P32" s="3">
        <v>36069</v>
      </c>
      <c r="Q32" s="2" t="str">
        <f>IFERROR(INDEX('nba.com measureables'!$A:$J,MATCH($A32,'nba.com measureables'!$A:$A,FALSE),7), "")</f>
        <v>6' 10.5''</v>
      </c>
      <c r="R32" s="2" t="str">
        <f>IFERROR(INDEX('nba.com measureables'!$A:$J,MATCH($A32,'nba.com measureables'!$A:$A,FALSE),10), "")</f>
        <v>7' 2.25''</v>
      </c>
      <c r="S32" s="2" t="str">
        <f>IFERROR(INDEX('nba.com measureables'!$A:$J,MATCH($A32,'nba.com measureables'!$A:$A,FALSE),8), "")</f>
        <v>9' 2''</v>
      </c>
      <c r="T32" t="str">
        <f t="shared" ca="1" si="5"/>
        <v xml:space="preserve">  &lt;li&gt;&lt;b&gt;&lt;a _x000D_    target='_blank' _x000D_    href='https://www.sports-reference.com/cbb/players/daniel-gafford-1.html'&gt;Daniel Gafford&lt;/a&gt;&lt;/b&gt; - &lt;i&gt;C - Arkansas&lt;/i&gt;&lt;/li&gt;_x000D_  &lt;ul style='list-style-type:none'&gt;_x000D_    &lt;li&gt;Grade: Sophomore &lt;/li&gt;_x000D_    &lt;li&gt;Age: 20.72 &lt;/li&gt;_x000D_    &lt;li&gt;Height: 82.5 &lt;/li&gt;_x000D_    &lt;li&gt;Wingspan: 86.25 &lt;/li&gt;_x000D_    &lt;li&gt;Reach: 110 &lt;/li&gt;_x000D_    &lt;li&gt;Ape: +3.75 &lt;/li&gt;_x000D_  &lt;/ul&gt;_x000D_&lt;br&gt;</v>
      </c>
    </row>
    <row r="33" spans="1:20">
      <c r="A33" s="4" t="s">
        <v>215</v>
      </c>
      <c r="B33" s="4" t="s">
        <v>223</v>
      </c>
      <c r="C33" s="4" t="s">
        <v>8</v>
      </c>
      <c r="D33" s="4" t="s">
        <v>231</v>
      </c>
      <c r="E33" s="5">
        <f t="shared" ca="1" si="0"/>
        <v>19.017111567419576</v>
      </c>
      <c r="F33" s="4">
        <f t="shared" si="1"/>
        <v>81</v>
      </c>
      <c r="G33" s="4">
        <f t="shared" si="2"/>
        <v>84</v>
      </c>
      <c r="H33" s="4">
        <f t="shared" si="3"/>
        <v>107</v>
      </c>
      <c r="I33" s="4" t="str">
        <f t="shared" si="4"/>
        <v>+3</v>
      </c>
      <c r="J33" s="4" t="s">
        <v>27</v>
      </c>
      <c r="K33" s="4">
        <v>40</v>
      </c>
      <c r="L33" s="6" t="s">
        <v>6</v>
      </c>
      <c r="M33" s="2">
        <v>26</v>
      </c>
      <c r="P33" s="3">
        <v>36689</v>
      </c>
      <c r="Q33" s="2" t="str">
        <f>IFERROR(INDEX('nba.com measureables'!$A:$J,MATCH($A33,'nba.com measureables'!$A:$A,FALSE),7), "")</f>
        <v>6' 9''</v>
      </c>
      <c r="R33" s="2" t="str">
        <f>IFERROR(INDEX('nba.com measureables'!$A:$J,MATCH($A33,'nba.com measureables'!$A:$A,FALSE),10), "")</f>
        <v>7' 0''</v>
      </c>
      <c r="S33" s="2" t="str">
        <f>IFERROR(INDEX('nba.com measureables'!$A:$J,MATCH($A33,'nba.com measureables'!$A:$A,FALSE),8), "")</f>
        <v>8' 11''</v>
      </c>
      <c r="T33" t="str">
        <f t="shared" ca="1" si="5"/>
        <v xml:space="preserve">  &lt;li&gt;&lt;b&gt;&lt;a _x000D_    target='_blank' _x000D_    href='https://en.wikipedia.org/wiki/Darius_Bazley'&gt;Darius Bazley&lt;/a&gt;&lt;/b&gt; - &lt;i&gt;SF - New Balance&lt;/i&gt;&lt;/li&gt;_x000D_  &lt;ul style='list-style-type:none'&gt;_x000D_    &lt;li&gt;Grade: Freshman &lt;/li&gt;_x000D_    &lt;li&gt;Age: 19.02 &lt;/li&gt;_x000D_    &lt;li&gt;Height: 81 &lt;/li&gt;_x000D_    &lt;li&gt;Wingspan: 84 &lt;/li&gt;_x000D_    &lt;li&gt;Reach: 107 &lt;/li&gt;_x000D_    &lt;li&gt;Ape: +3 &lt;/li&gt;_x000D_  &lt;/ul&gt;_x000D_&lt;br&gt;</v>
      </c>
    </row>
    <row r="34" spans="1:20">
      <c r="A34" s="4" t="s">
        <v>210</v>
      </c>
      <c r="B34" s="4" t="s">
        <v>222</v>
      </c>
      <c r="C34" s="4" t="s">
        <v>244</v>
      </c>
      <c r="D34" s="4" t="s">
        <v>231</v>
      </c>
      <c r="E34" s="5">
        <f t="shared" ca="1" si="0"/>
        <v>20.444198174706649</v>
      </c>
      <c r="F34" s="4">
        <f t="shared" si="1"/>
        <v>79.25</v>
      </c>
      <c r="G34" s="4">
        <f t="shared" si="2"/>
        <v>81.25</v>
      </c>
      <c r="H34" s="4">
        <f t="shared" si="3"/>
        <v>102</v>
      </c>
      <c r="I34" s="4" t="str">
        <f t="shared" si="4"/>
        <v>+2</v>
      </c>
      <c r="J34" s="4" t="s">
        <v>27</v>
      </c>
      <c r="K34" s="4">
        <v>40</v>
      </c>
      <c r="L34" s="6" t="s">
        <v>17</v>
      </c>
      <c r="M34" s="2">
        <v>69</v>
      </c>
      <c r="N34" s="2">
        <v>31</v>
      </c>
      <c r="P34" s="3">
        <v>36168</v>
      </c>
      <c r="Q34" s="2" t="str">
        <f>IFERROR(INDEX('nba.com measureables'!$A:$J,MATCH($A34,'nba.com measureables'!$A:$A,FALSE),7), "")</f>
        <v>6' 7.25''</v>
      </c>
      <c r="R34" s="2" t="str">
        <f>IFERROR(INDEX('nba.com measureables'!$A:$J,MATCH($A34,'nba.com measureables'!$A:$A,FALSE),10), "")</f>
        <v>6' 9.25''</v>
      </c>
      <c r="S34" s="2" t="str">
        <f>IFERROR(INDEX('nba.com measureables'!$A:$J,MATCH($A34,'nba.com measureables'!$A:$A,FALSE),8), "")</f>
        <v>8' 6''</v>
      </c>
      <c r="T34" t="str">
        <f t="shared" ca="1" si="5"/>
        <v xml:space="preserve">  &lt;li&gt;&lt;b&gt;&lt;a _x000D_    target='_blank' _x000D_    href='https://www.sports-reference.com/cbb/players/ignas-brazdeikis-1.html'&gt;Ignas Brazdeikis&lt;/a&gt;&lt;/b&gt; - &lt;i&gt;PF - Michigan&lt;/i&gt;&lt;/li&gt;_x000D_  &lt;ul style='list-style-type:none'&gt;_x000D_    &lt;li&gt;Grade: Freshman &lt;/li&gt;_x000D_    &lt;li&gt;Age: 20.44 &lt;/li&gt;_x000D_    &lt;li&gt;Height: 79.25 &lt;/li&gt;_x000D_    &lt;li&gt;Wingspan: 81.25 &lt;/li&gt;_x000D_    &lt;li&gt;Reach: 102 &lt;/li&gt;_x000D_    &lt;li&gt;Ape: +2 &lt;/li&gt;_x000D_  &lt;/ul&gt;_x000D_&lt;br&gt;</v>
      </c>
    </row>
    <row r="35" spans="1:20">
      <c r="A35" s="4" t="s">
        <v>211</v>
      </c>
      <c r="B35" s="4" t="s">
        <v>225</v>
      </c>
      <c r="C35" s="4" t="s">
        <v>247</v>
      </c>
      <c r="D35" s="4" t="s">
        <v>264</v>
      </c>
      <c r="E35" s="5">
        <f t="shared" ca="1" si="0"/>
        <v>23.241615331964407</v>
      </c>
      <c r="F35" s="4" t="str">
        <f t="shared" si="1"/>
        <v/>
      </c>
      <c r="G35" s="4" t="str">
        <f t="shared" si="2"/>
        <v/>
      </c>
      <c r="H35" s="4" t="str">
        <f t="shared" si="3"/>
        <v/>
      </c>
      <c r="I35" s="4" t="str">
        <f t="shared" si="4"/>
        <v/>
      </c>
      <c r="J35" s="4" t="s">
        <v>27</v>
      </c>
      <c r="K35" s="4">
        <v>40</v>
      </c>
      <c r="L35" s="6" t="s">
        <v>16</v>
      </c>
      <c r="M35" s="2">
        <v>65</v>
      </c>
      <c r="N35" s="2">
        <v>32</v>
      </c>
      <c r="P35" s="3">
        <v>35146</v>
      </c>
      <c r="Q35" s="2" t="str">
        <f>IFERROR(INDEX('nba.com measureables'!$A:$J,MATCH($A35,'nba.com measureables'!$A:$A,FALSE),7), "")</f>
        <v/>
      </c>
      <c r="R35" s="2" t="str">
        <f>IFERROR(INDEX('nba.com measureables'!$A:$J,MATCH($A35,'nba.com measureables'!$A:$A,FALSE),10), "")</f>
        <v/>
      </c>
      <c r="S35" s="2" t="str">
        <f>IFERROR(INDEX('nba.com measureables'!$A:$J,MATCH($A35,'nba.com measureables'!$A:$A,FALSE),8), "")</f>
        <v/>
      </c>
      <c r="T35" t="str">
        <f t="shared" ca="1" si="5"/>
        <v xml:space="preserve">  &lt;li&gt;&lt;b&gt;&lt;a _x000D_    target='_blank' _x000D_    href='https://www.sports-reference.com/cbb/players/john-konchar-1.html'&gt;John Konchar&lt;/a&gt;&lt;/b&gt; - &lt;i&gt;SG - Purdue Fort Wayne&lt;/i&gt;&lt;/li&gt;_x000D_  &lt;ul style='list-style-type:none'&gt;_x000D_    &lt;li&gt;Grade: Senior &lt;/li&gt;_x000D_    &lt;li&gt;Age: 23.24 &lt;/li&gt;_x000D_  &lt;/ul&gt;_x000D_&lt;br&gt;</v>
      </c>
    </row>
    <row r="36" spans="1:20">
      <c r="A36" s="4" t="s">
        <v>205</v>
      </c>
      <c r="B36" s="4" t="s">
        <v>223</v>
      </c>
      <c r="C36" s="4" t="s">
        <v>234</v>
      </c>
      <c r="D36" s="4" t="s">
        <v>231</v>
      </c>
      <c r="E36" s="5">
        <f t="shared" ca="1" si="0"/>
        <v>19.688526727509778</v>
      </c>
      <c r="F36" s="4">
        <f t="shared" si="1"/>
        <v>78</v>
      </c>
      <c r="G36" s="4">
        <f t="shared" si="2"/>
        <v>81.25</v>
      </c>
      <c r="H36" s="4">
        <f t="shared" si="3"/>
        <v>104</v>
      </c>
      <c r="I36" s="4" t="str">
        <f t="shared" si="4"/>
        <v>+3.25</v>
      </c>
      <c r="J36" s="4" t="s">
        <v>27</v>
      </c>
      <c r="K36" s="4">
        <v>40</v>
      </c>
      <c r="L36" s="6" t="s">
        <v>3</v>
      </c>
      <c r="M36" s="2">
        <v>21</v>
      </c>
      <c r="N36" s="2">
        <v>24</v>
      </c>
      <c r="P36" s="3">
        <v>36444</v>
      </c>
      <c r="Q36" s="2" t="str">
        <f>IFERROR(INDEX('nba.com measureables'!$A:$J,MATCH($A36,'nba.com measureables'!$A:$A,FALSE),7), "")</f>
        <v>6' 6''</v>
      </c>
      <c r="R36" s="2" t="str">
        <f>IFERROR(INDEX('nba.com measureables'!$A:$J,MATCH($A36,'nba.com measureables'!$A:$A,FALSE),10), "")</f>
        <v>6' 9.25''</v>
      </c>
      <c r="S36" s="2" t="str">
        <f>IFERROR(INDEX('nba.com measureables'!$A:$J,MATCH($A36,'nba.com measureables'!$A:$A,FALSE),8), "")</f>
        <v>8' 8''</v>
      </c>
      <c r="T36" t="str">
        <f t="shared" ca="1" si="5"/>
        <v xml:space="preserve">  &lt;li&gt;&lt;b&gt;&lt;a _x000D_    target='_blank' _x000D_    href='https://www.sports-reference.com/cbb/players/keldon-johnson-1.html'&gt;Keldon Johnson&lt;/a&gt;&lt;/b&gt; - &lt;i&gt;SF - Kentucky&lt;/i&gt;&lt;/li&gt;_x000D_  &lt;ul style='list-style-type:none'&gt;_x000D_    &lt;li&gt;Grade: Freshman &lt;/li&gt;_x000D_    &lt;li&gt;Age: 19.69 &lt;/li&gt;_x000D_    &lt;li&gt;Height: 78 &lt;/li&gt;_x000D_    &lt;li&gt;Wingspan: 81.25 &lt;/li&gt;_x000D_    &lt;li&gt;Reach: 104 &lt;/li&gt;_x000D_    &lt;li&gt;Ape: +3.25 &lt;/li&gt;_x000D_  &lt;/ul&gt;_x000D_&lt;br&gt;</v>
      </c>
    </row>
    <row r="37" spans="1:20">
      <c r="A37" s="4" t="s">
        <v>208</v>
      </c>
      <c r="B37" s="4" t="s">
        <v>225</v>
      </c>
      <c r="C37" s="4" t="s">
        <v>250</v>
      </c>
      <c r="D37" s="4" t="s">
        <v>231</v>
      </c>
      <c r="E37" s="5">
        <f t="shared" ca="1" si="0"/>
        <v>19.123887748117728</v>
      </c>
      <c r="F37" s="4">
        <f t="shared" si="1"/>
        <v>77.5</v>
      </c>
      <c r="G37" s="4">
        <f t="shared" si="2"/>
        <v>81</v>
      </c>
      <c r="H37" s="4">
        <f t="shared" si="3"/>
        <v>103</v>
      </c>
      <c r="I37" s="4" t="str">
        <f t="shared" si="4"/>
        <v>+3.5</v>
      </c>
      <c r="J37" s="4" t="s">
        <v>27</v>
      </c>
      <c r="K37" s="4">
        <v>40</v>
      </c>
      <c r="L37" s="6" t="s">
        <v>4</v>
      </c>
      <c r="M37" s="2">
        <v>22</v>
      </c>
      <c r="N37" s="2">
        <v>27</v>
      </c>
      <c r="P37" s="3">
        <v>36650</v>
      </c>
      <c r="Q37" s="2" t="str">
        <f>IFERROR(INDEX('nba.com measureables'!$A:$J,MATCH($A37,'nba.com measureables'!$A:$A,FALSE),7), "")</f>
        <v>6' 5.5''</v>
      </c>
      <c r="R37" s="2" t="str">
        <f>IFERROR(INDEX('nba.com measureables'!$A:$J,MATCH($A37,'nba.com measureables'!$A:$A,FALSE),10), "")</f>
        <v>6' 9''</v>
      </c>
      <c r="S37" s="2" t="str">
        <f>IFERROR(INDEX('nba.com measureables'!$A:$J,MATCH($A37,'nba.com measureables'!$A:$A,FALSE),8), "")</f>
        <v>8' 7''</v>
      </c>
      <c r="T37" t="str">
        <f t="shared" ca="1" si="5"/>
        <v xml:space="preserve">  &lt;li&gt;&lt;b&gt;&lt;a _x000D_    target='_blank' _x000D_    href='https://www.sports-reference.com/cbb/players/kevin-porterjr-1.html'&gt;Kevin Porter Jr.&lt;/a&gt;&lt;/b&gt; - &lt;i&gt;SG - USC&lt;/i&gt;&lt;/li&gt;_x000D_  &lt;ul style='list-style-type:none'&gt;_x000D_    &lt;li&gt;Grade: Freshman &lt;/li&gt;_x000D_    &lt;li&gt;Age: 19.12 &lt;/li&gt;_x000D_    &lt;li&gt;Height: 77.5 &lt;/li&gt;_x000D_    &lt;li&gt;Wingspan: 81 &lt;/li&gt;_x000D_    &lt;li&gt;Reach: 103 &lt;/li&gt;_x000D_    &lt;li&gt;Ape: +3.5 &lt;/li&gt;_x000D_  &lt;/ul&gt;_x000D_&lt;br&gt;</v>
      </c>
    </row>
    <row r="38" spans="1:20">
      <c r="A38" s="4" t="s">
        <v>216</v>
      </c>
      <c r="B38" s="4" t="s">
        <v>225</v>
      </c>
      <c r="C38" s="4" t="s">
        <v>252</v>
      </c>
      <c r="D38" s="4" t="s">
        <v>231</v>
      </c>
      <c r="E38" s="5">
        <f t="shared" ca="1" si="0"/>
        <v>20.16766623207301</v>
      </c>
      <c r="F38" s="4">
        <f t="shared" si="1"/>
        <v>76.25</v>
      </c>
      <c r="G38" s="4">
        <f t="shared" si="2"/>
        <v>80.5</v>
      </c>
      <c r="H38" s="4">
        <f t="shared" si="3"/>
        <v>99.5</v>
      </c>
      <c r="I38" s="4" t="str">
        <f t="shared" si="4"/>
        <v>+4.25</v>
      </c>
      <c r="J38" s="4" t="s">
        <v>27</v>
      </c>
      <c r="K38" s="4">
        <v>40</v>
      </c>
      <c r="L38" s="6" t="s">
        <v>7</v>
      </c>
      <c r="M38" s="2">
        <v>28</v>
      </c>
      <c r="P38" s="3">
        <v>36269</v>
      </c>
      <c r="Q38" s="2" t="str">
        <f>IFERROR(INDEX('nba.com measureables'!$A:$J,MATCH($A38,'nba.com measureables'!$A:$A,FALSE),7), "")</f>
        <v>6' 4.25''</v>
      </c>
      <c r="R38" s="2" t="str">
        <f>IFERROR(INDEX('nba.com measureables'!$A:$J,MATCH($A38,'nba.com measureables'!$A:$A,FALSE),10), "")</f>
        <v>6' 8.5''</v>
      </c>
      <c r="S38" s="2" t="str">
        <f>IFERROR(INDEX('nba.com measureables'!$A:$J,MATCH($A38,'nba.com measureables'!$A:$A,FALSE),8), "")</f>
        <v>8' 3.5''</v>
      </c>
      <c r="T38" t="str">
        <f t="shared" ca="1" si="5"/>
        <v xml:space="preserve">  &lt;li&gt;&lt;b&gt;&lt;a _x000D_    target='_blank' _x000D_    href='https://www.sports-reference.com/cbb/players/luguentz-dort-1.html'&gt;Luguentz Dort&lt;/a&gt;&lt;/b&gt; - &lt;i&gt;SG - Arizona State&lt;/i&gt;&lt;/li&gt;_x000D_  &lt;ul style='list-style-type:none'&gt;_x000D_    &lt;li&gt;Grade: Freshman &lt;/li&gt;_x000D_    &lt;li&gt;Age: 20.17 &lt;/li&gt;_x000D_    &lt;li&gt;Height: 76.25 &lt;/li&gt;_x000D_    &lt;li&gt;Wingspan: 80.5 &lt;/li&gt;_x000D_    &lt;li&gt;Reach: 99.5 &lt;/li&gt;_x000D_    &lt;li&gt;Ape: +4.25 &lt;/li&gt;_x000D_  &lt;/ul&gt;_x000D_&lt;br&gt;</v>
      </c>
    </row>
    <row r="39" spans="1:20">
      <c r="A39" s="4" t="s">
        <v>217</v>
      </c>
      <c r="B39" s="4" t="s">
        <v>222</v>
      </c>
      <c r="C39" s="4" t="s">
        <v>10</v>
      </c>
      <c r="E39" s="5">
        <f t="shared" ca="1" si="0"/>
        <v>19.441478439425051</v>
      </c>
      <c r="F39" s="4">
        <f t="shared" si="1"/>
        <v>83</v>
      </c>
      <c r="G39" s="4">
        <f t="shared" si="2"/>
        <v>82.5</v>
      </c>
      <c r="H39" s="4">
        <f t="shared" si="3"/>
        <v>107</v>
      </c>
      <c r="I39" s="4" t="str">
        <f t="shared" si="4"/>
        <v/>
      </c>
      <c r="J39" s="4" t="s">
        <v>27</v>
      </c>
      <c r="K39" s="4">
        <v>40</v>
      </c>
      <c r="L39" s="6" t="s">
        <v>9</v>
      </c>
      <c r="M39" s="2">
        <v>29</v>
      </c>
      <c r="P39" s="3">
        <v>36534</v>
      </c>
      <c r="Q39" s="2" t="str">
        <f>IFERROR(INDEX('nba.com measureables'!$A:$J,MATCH($A39,'nba.com measureables'!$A:$A,FALSE),7), "")</f>
        <v>6' 11''</v>
      </c>
      <c r="R39" s="2" t="str">
        <f>IFERROR(INDEX('nba.com measureables'!$A:$J,MATCH($A39,'nba.com measureables'!$A:$A,FALSE),10), "")</f>
        <v>6' 10.5''</v>
      </c>
      <c r="S39" s="2" t="str">
        <f>IFERROR(INDEX('nba.com measureables'!$A:$J,MATCH($A39,'nba.com measureables'!$A:$A,FALSE),8), "")</f>
        <v>8' 11''</v>
      </c>
      <c r="T39" t="str">
        <f t="shared" ca="1" si="5"/>
        <v xml:space="preserve">  &lt;li&gt;&lt;b&gt;&lt;a _x000D_    target='_blank' _x000D_    href='https://www.proballers.com/basket-ball-player/70813/luka-samanic'&gt;Luka Samanic&lt;/a&gt;&lt;/b&gt; - &lt;i&gt;PF - Petrol Olimpjia (Premier A Slovenian League)&lt;/i&gt;&lt;/li&gt;_x000D_  &lt;ul style='list-style-type:none'&gt;_x000D_    &lt;li&gt;Age: 19.44 &lt;/li&gt;_x000D_    &lt;li&gt;Height: 83 &lt;/li&gt;_x000D_    &lt;li&gt;Wingspan: 82.5 &lt;/li&gt;_x000D_    &lt;li&gt;Reach: 107 &lt;/li&gt;_x000D_  &lt;/ul&gt;_x000D_&lt;br&gt;</v>
      </c>
    </row>
    <row r="40" spans="1:20">
      <c r="A40" s="4" t="s">
        <v>218</v>
      </c>
      <c r="B40" s="4" t="s">
        <v>223</v>
      </c>
      <c r="C40" s="4" t="s">
        <v>253</v>
      </c>
      <c r="D40" s="4" t="s">
        <v>264</v>
      </c>
      <c r="E40" s="5">
        <f t="shared" ca="1" si="0"/>
        <v>22.293571428571429</v>
      </c>
      <c r="F40" s="4" t="str">
        <f t="shared" si="1"/>
        <v/>
      </c>
      <c r="G40" s="4" t="str">
        <f t="shared" si="2"/>
        <v/>
      </c>
      <c r="H40" s="4" t="str">
        <f t="shared" si="3"/>
        <v/>
      </c>
      <c r="I40" s="4" t="str">
        <f t="shared" si="4"/>
        <v/>
      </c>
      <c r="J40" s="4" t="s">
        <v>27</v>
      </c>
      <c r="K40" s="4">
        <v>40</v>
      </c>
      <c r="L40" s="6" t="s">
        <v>11</v>
      </c>
      <c r="M40" s="2">
        <v>32</v>
      </c>
      <c r="P40" s="3">
        <v>35493</v>
      </c>
      <c r="Q40" s="2" t="str">
        <f>IFERROR(INDEX('nba.com measureables'!$A:$J,MATCH($A40,'nba.com measureables'!$A:$A,FALSE),7), "")</f>
        <v/>
      </c>
      <c r="R40" s="2" t="str">
        <f>IFERROR(INDEX('nba.com measureables'!$A:$J,MATCH($A40,'nba.com measureables'!$A:$A,FALSE),10), "")</f>
        <v/>
      </c>
      <c r="S40" s="2" t="str">
        <f>IFERROR(INDEX('nba.com measureables'!$A:$J,MATCH($A40,'nba.com measureables'!$A:$A,FALSE),8), "")</f>
        <v/>
      </c>
      <c r="T40" t="str">
        <f t="shared" ca="1" si="5"/>
        <v xml:space="preserve">  &lt;li&gt;&lt;b&gt;&lt;a _x000D_    target='_blank' _x000D_    href='https://www.sports-reference.com/cbb/players/matisse-thybulle-1.html'&gt;Matisse Thybulle&lt;/a&gt;&lt;/b&gt; - &lt;i&gt;SF - Washington&lt;/i&gt;&lt;/li&gt;_x000D_  &lt;ul style='list-style-type:none'&gt;_x000D_    &lt;li&gt;Grade: Senior &lt;/li&gt;_x000D_    &lt;li&gt;Age: 22.29 &lt;/li&gt;_x000D_  &lt;/ul&gt;_x000D_&lt;br&gt;</v>
      </c>
    </row>
    <row r="41" spans="1:20">
      <c r="A41" s="4" t="s">
        <v>214</v>
      </c>
      <c r="B41" s="4" t="s">
        <v>221</v>
      </c>
      <c r="C41" s="4" t="s">
        <v>254</v>
      </c>
      <c r="D41" s="4" t="s">
        <v>262</v>
      </c>
      <c r="E41" s="5">
        <f t="shared" ca="1" si="0"/>
        <v>21.847261904761904</v>
      </c>
      <c r="F41" s="4">
        <f t="shared" si="1"/>
        <v>82.25</v>
      </c>
      <c r="G41" s="4">
        <f t="shared" si="2"/>
        <v>87</v>
      </c>
      <c r="H41" s="4">
        <f t="shared" si="3"/>
        <v>109.5</v>
      </c>
      <c r="I41" s="4" t="str">
        <f t="shared" si="4"/>
        <v>+4.75</v>
      </c>
      <c r="J41" s="4" t="s">
        <v>27</v>
      </c>
      <c r="K41" s="4">
        <v>40</v>
      </c>
      <c r="L41" s="6" t="s">
        <v>5</v>
      </c>
      <c r="M41" s="2">
        <v>23</v>
      </c>
      <c r="N41" s="2">
        <v>37</v>
      </c>
      <c r="P41" s="3">
        <v>35656</v>
      </c>
      <c r="Q41" s="2" t="str">
        <f>IFERROR(INDEX('nba.com measureables'!$A:$J,MATCH($A41,'nba.com measureables'!$A:$A,FALSE),7), "")</f>
        <v>6' 10.25''</v>
      </c>
      <c r="R41" s="2" t="str">
        <f>IFERROR(INDEX('nba.com measureables'!$A:$J,MATCH($A41,'nba.com measureables'!$A:$A,FALSE),10), "")</f>
        <v>7' 3''</v>
      </c>
      <c r="S41" s="2" t="str">
        <f>IFERROR(INDEX('nba.com measureables'!$A:$J,MATCH($A41,'nba.com measureables'!$A:$A,FALSE),8), "")</f>
        <v>9' 1.5''</v>
      </c>
      <c r="T41" t="str">
        <f t="shared" ca="1" si="5"/>
        <v xml:space="preserve">  &lt;li&gt;&lt;b&gt;&lt;a _x000D_    target='_blank' _x000D_    href='https://www.sports-reference.com/cbb/players/mfiondu-kabengele-1.html'&gt;Mfiondu Kabengele&lt;/a&gt;&lt;/b&gt; - &lt;i&gt;C - Florida State&lt;/i&gt;&lt;/li&gt;_x000D_  &lt;ul style='list-style-type:none'&gt;_x000D_    &lt;li&gt;Grade: Sophomore &lt;/li&gt;_x000D_    &lt;li&gt;Age: 21.85 &lt;/li&gt;_x000D_    &lt;li&gt;Height: 82.25 &lt;/li&gt;_x000D_    &lt;li&gt;Wingspan: 87 &lt;/li&gt;_x000D_    &lt;li&gt;Reach: 109.5 &lt;/li&gt;_x000D_    &lt;li&gt;Ape: +4.75 &lt;/li&gt;_x000D_  &lt;/ul&gt;_x000D_&lt;br&gt;</v>
      </c>
    </row>
    <row r="42" spans="1:20">
      <c r="A42" s="4" t="s">
        <v>206</v>
      </c>
      <c r="B42" s="4" t="s">
        <v>224</v>
      </c>
      <c r="C42" s="4" t="s">
        <v>259</v>
      </c>
      <c r="D42" s="4" t="s">
        <v>263</v>
      </c>
      <c r="E42" s="5">
        <f t="shared" ca="1" si="0"/>
        <v>20.973242065961418</v>
      </c>
      <c r="F42" s="4">
        <f t="shared" si="1"/>
        <v>72.5</v>
      </c>
      <c r="G42" s="4">
        <f t="shared" si="2"/>
        <v>75.5</v>
      </c>
      <c r="H42" s="4">
        <f t="shared" si="3"/>
        <v>96.5</v>
      </c>
      <c r="I42" s="4" t="str">
        <f t="shared" si="4"/>
        <v>+3</v>
      </c>
      <c r="J42" s="4" t="s">
        <v>27</v>
      </c>
      <c r="K42" s="4">
        <v>40</v>
      </c>
      <c r="L42" s="6" t="s">
        <v>15</v>
      </c>
      <c r="M42" s="2">
        <v>46</v>
      </c>
      <c r="N42" s="2">
        <v>25</v>
      </c>
      <c r="P42" s="3">
        <v>35975</v>
      </c>
      <c r="Q42" s="2" t="str">
        <f>IFERROR(INDEX('nba.com measureables'!$A:$J,MATCH($A42,'nba.com measureables'!$A:$A,FALSE),7), "")</f>
        <v>6' 0.5''</v>
      </c>
      <c r="R42" s="2" t="str">
        <f>IFERROR(INDEX('nba.com measureables'!$A:$J,MATCH($A42,'nba.com measureables'!$A:$A,FALSE),10), "")</f>
        <v>6' 3.5''</v>
      </c>
      <c r="S42" s="2" t="str">
        <f>IFERROR(INDEX('nba.com measureables'!$A:$J,MATCH($A42,'nba.com measureables'!$A:$A,FALSE),8), "")</f>
        <v>8' 0.5''</v>
      </c>
      <c r="T42" t="str">
        <f t="shared" ca="1" si="5"/>
        <v xml:space="preserve">  &lt;li&gt;&lt;b&gt;&lt;a _x000D_    target='_blank' _x000D_    href='https://www.sports-reference.com/cbb/players/shamorie-ponds-1.html'&gt;Shamorie Ponds&lt;/a&gt;&lt;/b&gt; - &lt;i&gt;PG - St. John's&lt;/i&gt;&lt;/li&gt;_x000D_  &lt;ul style='list-style-type:none'&gt;_x000D_    &lt;li&gt;Grade: Junior &lt;/li&gt;_x000D_    &lt;li&gt;Age: 20.97 &lt;/li&gt;_x000D_    &lt;li&gt;Height: 72.5 &lt;/li&gt;_x000D_    &lt;li&gt;Wingspan: 75.5 &lt;/li&gt;_x000D_    &lt;li&gt;Reach: 96.5 &lt;/li&gt;_x000D_    &lt;li&gt;Ape: +3 &lt;/li&gt;_x000D_  &lt;/ul&gt;_x000D_&lt;br&gt;</v>
      </c>
    </row>
  </sheetData>
  <autoFilter ref="A1:S1"/>
  <sortState ref="A29:S42">
    <sortCondition ref="J29:J42"/>
    <sortCondition ref="A29:A42"/>
  </sortState>
  <phoneticPr fontId="2" type="noConversion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7" r:id="rId15"/>
    <hyperlink ref="L16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31" r:id="rId28"/>
    <hyperlink ref="L36" r:id="rId29"/>
    <hyperlink ref="L37" r:id="rId30"/>
    <hyperlink ref="L41" r:id="rId31"/>
    <hyperlink ref="L33" r:id="rId32"/>
    <hyperlink ref="L39" r:id="rId33"/>
    <hyperlink ref="L38" r:id="rId34"/>
    <hyperlink ref="L40" r:id="rId35"/>
    <hyperlink ref="L30" r:id="rId36"/>
    <hyperlink ref="L29" r:id="rId37"/>
    <hyperlink ref="L32" r:id="rId38"/>
    <hyperlink ref="L42" r:id="rId39"/>
    <hyperlink ref="L35" r:id="rId40"/>
    <hyperlink ref="L34" r:id="rId41"/>
  </hyperlinks>
  <pageMargins left="0.7" right="0.7" top="0.75" bottom="0.75" header="0.3" footer="0.3"/>
  <legacyDrawing r:id="rId4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78"/>
  <sheetViews>
    <sheetView workbookViewId="0">
      <selection activeCell="F13" sqref="F13"/>
    </sheetView>
  </sheetViews>
  <sheetFormatPr baseColWidth="10" defaultRowHeight="15"/>
  <cols>
    <col min="1" max="1" width="22.33203125" bestFit="1" customWidth="1"/>
    <col min="2" max="2" width="7" bestFit="1" customWidth="1"/>
    <col min="3" max="3" width="14" bestFit="1" customWidth="1"/>
    <col min="4" max="4" width="23.6640625" bestFit="1" customWidth="1"/>
    <col min="5" max="5" width="22.6640625" bestFit="1" customWidth="1"/>
    <col min="6" max="6" width="20.5" bestFit="1" customWidth="1"/>
    <col min="7" max="7" width="19.1640625" bestFit="1" customWidth="1"/>
    <col min="8" max="8" width="18.5" bestFit="1" customWidth="1"/>
    <col min="9" max="9" width="15.33203125" bestFit="1" customWidth="1"/>
    <col min="10" max="10" width="13.1640625" bestFit="1" customWidth="1"/>
  </cols>
  <sheetData>
    <row r="1" spans="1:10">
      <c r="A1" t="s">
        <v>266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  <c r="I1" t="s">
        <v>274</v>
      </c>
      <c r="J1" t="s">
        <v>275</v>
      </c>
    </row>
    <row r="2" spans="1:10">
      <c r="A2" t="s">
        <v>261</v>
      </c>
      <c r="B2" t="s">
        <v>223</v>
      </c>
      <c r="C2" s="1">
        <v>6.8000000000000005E-2</v>
      </c>
      <c r="D2">
        <v>8.75</v>
      </c>
      <c r="E2">
        <v>9</v>
      </c>
      <c r="F2" t="s">
        <v>107</v>
      </c>
      <c r="G2" t="s">
        <v>81</v>
      </c>
      <c r="H2" t="s">
        <v>142</v>
      </c>
      <c r="I2">
        <v>240.6</v>
      </c>
      <c r="J2" t="s">
        <v>145</v>
      </c>
    </row>
    <row r="3" spans="1:10">
      <c r="A3" t="s">
        <v>181</v>
      </c>
      <c r="B3" t="s">
        <v>221</v>
      </c>
      <c r="C3" s="1">
        <v>7.0999999999999994E-2</v>
      </c>
      <c r="D3">
        <v>9.25</v>
      </c>
      <c r="E3">
        <v>9.5</v>
      </c>
      <c r="F3" t="s">
        <v>291</v>
      </c>
      <c r="G3" t="s">
        <v>292</v>
      </c>
      <c r="H3" t="s">
        <v>293</v>
      </c>
      <c r="I3">
        <v>208</v>
      </c>
      <c r="J3" t="s">
        <v>294</v>
      </c>
    </row>
    <row r="4" spans="1:10">
      <c r="A4" t="s">
        <v>195</v>
      </c>
      <c r="B4" t="s">
        <v>223</v>
      </c>
      <c r="C4" s="1">
        <v>4.9000000000000002E-2</v>
      </c>
      <c r="D4">
        <v>8.25</v>
      </c>
      <c r="E4">
        <v>9.5</v>
      </c>
      <c r="F4" t="s">
        <v>65</v>
      </c>
      <c r="G4" t="s">
        <v>75</v>
      </c>
      <c r="H4" t="s">
        <v>278</v>
      </c>
      <c r="I4">
        <v>207.2</v>
      </c>
      <c r="J4" t="s">
        <v>75</v>
      </c>
    </row>
    <row r="5" spans="1:10">
      <c r="A5" t="s">
        <v>55</v>
      </c>
      <c r="B5" t="s">
        <v>223</v>
      </c>
      <c r="C5" s="1">
        <v>6.5000000000000002E-2</v>
      </c>
      <c r="D5">
        <v>8.5</v>
      </c>
      <c r="E5">
        <v>9.75</v>
      </c>
      <c r="F5" t="s">
        <v>56</v>
      </c>
      <c r="G5" t="s">
        <v>57</v>
      </c>
      <c r="H5" t="s">
        <v>58</v>
      </c>
      <c r="I5">
        <v>200</v>
      </c>
      <c r="J5" t="s">
        <v>284</v>
      </c>
    </row>
    <row r="6" spans="1:10">
      <c r="A6" t="s">
        <v>202</v>
      </c>
      <c r="B6" t="s">
        <v>221</v>
      </c>
      <c r="C6" s="1">
        <v>5.3999999999999999E-2</v>
      </c>
      <c r="D6">
        <v>9.25</v>
      </c>
      <c r="E6">
        <v>10</v>
      </c>
      <c r="F6" t="s">
        <v>283</v>
      </c>
      <c r="G6" t="s">
        <v>102</v>
      </c>
      <c r="H6" t="s">
        <v>77</v>
      </c>
      <c r="I6">
        <v>237</v>
      </c>
      <c r="J6" t="s">
        <v>103</v>
      </c>
    </row>
    <row r="7" spans="1:10">
      <c r="A7" t="s">
        <v>196</v>
      </c>
      <c r="B7" t="s">
        <v>223</v>
      </c>
      <c r="C7" s="1">
        <v>4.7E-2</v>
      </c>
      <c r="D7">
        <v>9</v>
      </c>
      <c r="E7">
        <v>9</v>
      </c>
      <c r="F7" t="s">
        <v>139</v>
      </c>
      <c r="G7" t="s">
        <v>69</v>
      </c>
      <c r="H7" t="s">
        <v>122</v>
      </c>
      <c r="I7">
        <v>207.8</v>
      </c>
      <c r="J7" t="s">
        <v>80</v>
      </c>
    </row>
    <row r="8" spans="1:10">
      <c r="A8" t="s">
        <v>213</v>
      </c>
      <c r="B8" t="s">
        <v>225</v>
      </c>
      <c r="C8" s="1">
        <v>5.8000000000000003E-2</v>
      </c>
      <c r="D8">
        <v>8</v>
      </c>
      <c r="E8">
        <v>8.5</v>
      </c>
      <c r="F8" t="s">
        <v>63</v>
      </c>
      <c r="G8" t="s">
        <v>89</v>
      </c>
      <c r="H8" t="s">
        <v>58</v>
      </c>
      <c r="I8">
        <v>205.2</v>
      </c>
      <c r="J8" t="s">
        <v>284</v>
      </c>
    </row>
    <row r="9" spans="1:10">
      <c r="A9" t="s">
        <v>219</v>
      </c>
      <c r="B9" t="s">
        <v>224</v>
      </c>
      <c r="C9" s="1">
        <v>5.5E-2</v>
      </c>
      <c r="D9">
        <v>8.75</v>
      </c>
      <c r="E9">
        <v>9</v>
      </c>
      <c r="F9" t="s">
        <v>94</v>
      </c>
      <c r="G9" t="s">
        <v>95</v>
      </c>
      <c r="H9" t="s">
        <v>96</v>
      </c>
      <c r="I9">
        <v>199.4</v>
      </c>
      <c r="J9" t="s">
        <v>97</v>
      </c>
    </row>
    <row r="10" spans="1:10">
      <c r="A10" t="s">
        <v>282</v>
      </c>
      <c r="B10" t="s">
        <v>221</v>
      </c>
      <c r="C10" s="1">
        <v>8.5000000000000006E-2</v>
      </c>
      <c r="D10">
        <v>9.25</v>
      </c>
      <c r="E10">
        <v>9.5</v>
      </c>
      <c r="F10" t="s">
        <v>283</v>
      </c>
      <c r="G10" t="s">
        <v>284</v>
      </c>
      <c r="H10" t="s">
        <v>285</v>
      </c>
      <c r="I10">
        <v>239</v>
      </c>
      <c r="J10" t="s">
        <v>286</v>
      </c>
    </row>
    <row r="11" spans="1:10">
      <c r="A11" t="s">
        <v>143</v>
      </c>
      <c r="B11" t="s">
        <v>225</v>
      </c>
      <c r="C11" s="1">
        <v>3.7999999999999999E-2</v>
      </c>
      <c r="D11">
        <v>8.5</v>
      </c>
      <c r="E11">
        <v>8.75</v>
      </c>
      <c r="F11" t="s">
        <v>125</v>
      </c>
      <c r="G11" t="s">
        <v>56</v>
      </c>
      <c r="H11" t="s">
        <v>58</v>
      </c>
      <c r="I11">
        <v>194.8</v>
      </c>
      <c r="J11" t="s">
        <v>279</v>
      </c>
    </row>
    <row r="12" spans="1:10">
      <c r="A12" t="s">
        <v>188</v>
      </c>
      <c r="C12" t="s">
        <v>280</v>
      </c>
      <c r="D12" t="s">
        <v>281</v>
      </c>
      <c r="E12" t="s">
        <v>281</v>
      </c>
      <c r="I12" t="s">
        <v>281</v>
      </c>
    </row>
    <row r="13" spans="1:10">
      <c r="A13" t="s">
        <v>197</v>
      </c>
      <c r="B13" t="s">
        <v>224</v>
      </c>
      <c r="C13" s="1">
        <v>4.2999999999999997E-2</v>
      </c>
      <c r="D13">
        <v>7.75</v>
      </c>
      <c r="E13">
        <v>9</v>
      </c>
      <c r="F13" t="s">
        <v>158</v>
      </c>
      <c r="G13" t="s">
        <v>127</v>
      </c>
      <c r="H13" t="s">
        <v>175</v>
      </c>
      <c r="I13">
        <v>191.4</v>
      </c>
      <c r="J13" t="s">
        <v>125</v>
      </c>
    </row>
    <row r="14" spans="1:10">
      <c r="A14" t="s">
        <v>140</v>
      </c>
      <c r="B14" t="s">
        <v>141</v>
      </c>
      <c r="C14" s="1">
        <v>0.05</v>
      </c>
      <c r="D14">
        <v>8.25</v>
      </c>
      <c r="E14">
        <v>9</v>
      </c>
      <c r="F14" t="s">
        <v>127</v>
      </c>
      <c r="G14" t="s">
        <v>277</v>
      </c>
      <c r="H14" t="s">
        <v>142</v>
      </c>
      <c r="I14">
        <v>192.2</v>
      </c>
      <c r="J14" t="s">
        <v>102</v>
      </c>
    </row>
    <row r="15" spans="1:10">
      <c r="A15" t="s">
        <v>207</v>
      </c>
      <c r="B15" t="s">
        <v>222</v>
      </c>
      <c r="C15" s="1">
        <v>5.8999999999999997E-2</v>
      </c>
      <c r="D15">
        <v>9.25</v>
      </c>
      <c r="E15">
        <v>9.25</v>
      </c>
      <c r="F15" t="s">
        <v>66</v>
      </c>
      <c r="G15" t="s">
        <v>104</v>
      </c>
      <c r="H15" t="s">
        <v>77</v>
      </c>
      <c r="I15">
        <v>237.6</v>
      </c>
      <c r="J15" t="s">
        <v>105</v>
      </c>
    </row>
    <row r="16" spans="1:10">
      <c r="A16" t="s">
        <v>124</v>
      </c>
      <c r="B16" t="s">
        <v>68</v>
      </c>
      <c r="C16" s="1">
        <v>3.9E-2</v>
      </c>
      <c r="D16">
        <v>9.5</v>
      </c>
      <c r="E16">
        <v>10.25</v>
      </c>
      <c r="F16" t="s">
        <v>107</v>
      </c>
      <c r="G16" t="s">
        <v>125</v>
      </c>
      <c r="H16" t="s">
        <v>70</v>
      </c>
      <c r="I16">
        <v>215.6</v>
      </c>
      <c r="J16" t="s">
        <v>126</v>
      </c>
    </row>
    <row r="17" spans="1:10">
      <c r="A17" t="s">
        <v>215</v>
      </c>
      <c r="B17" t="s">
        <v>222</v>
      </c>
      <c r="C17" s="1">
        <v>3.5999999999999997E-2</v>
      </c>
      <c r="D17">
        <v>9</v>
      </c>
      <c r="E17">
        <v>9.75</v>
      </c>
      <c r="F17" t="s">
        <v>287</v>
      </c>
      <c r="G17" t="s">
        <v>288</v>
      </c>
      <c r="H17" t="s">
        <v>289</v>
      </c>
      <c r="I17">
        <v>208.4</v>
      </c>
      <c r="J17" t="s">
        <v>290</v>
      </c>
    </row>
    <row r="18" spans="1:10">
      <c r="A18" t="s">
        <v>186</v>
      </c>
      <c r="B18" t="s">
        <v>224</v>
      </c>
      <c r="C18" t="s">
        <v>280</v>
      </c>
      <c r="D18" t="s">
        <v>281</v>
      </c>
      <c r="E18" t="s">
        <v>281</v>
      </c>
      <c r="I18" t="s">
        <v>281</v>
      </c>
    </row>
    <row r="19" spans="1:10">
      <c r="A19" t="s">
        <v>209</v>
      </c>
      <c r="C19" t="s">
        <v>280</v>
      </c>
      <c r="D19" t="s">
        <v>281</v>
      </c>
      <c r="E19" t="s">
        <v>281</v>
      </c>
      <c r="I19" t="s">
        <v>281</v>
      </c>
    </row>
    <row r="20" spans="1:10">
      <c r="A20" t="s">
        <v>133</v>
      </c>
      <c r="B20" t="s">
        <v>222</v>
      </c>
      <c r="C20" s="1">
        <v>8.8999999999999996E-2</v>
      </c>
      <c r="D20">
        <v>9.75</v>
      </c>
      <c r="E20">
        <v>9.75</v>
      </c>
      <c r="F20" t="s">
        <v>63</v>
      </c>
      <c r="G20" t="s">
        <v>89</v>
      </c>
      <c r="H20" t="s">
        <v>134</v>
      </c>
      <c r="I20">
        <v>233</v>
      </c>
      <c r="J20" t="s">
        <v>105</v>
      </c>
    </row>
    <row r="21" spans="1:10">
      <c r="A21" t="s">
        <v>90</v>
      </c>
      <c r="B21" t="s">
        <v>224</v>
      </c>
      <c r="C21" s="1">
        <v>5.8999999999999997E-2</v>
      </c>
      <c r="D21">
        <v>8.25</v>
      </c>
      <c r="E21">
        <v>9.5</v>
      </c>
      <c r="F21" t="s">
        <v>91</v>
      </c>
      <c r="G21" t="s">
        <v>92</v>
      </c>
      <c r="H21" t="s">
        <v>93</v>
      </c>
      <c r="I21">
        <v>178.6</v>
      </c>
      <c r="J21" t="s">
        <v>54</v>
      </c>
    </row>
    <row r="22" spans="1:10">
      <c r="A22" t="s">
        <v>119</v>
      </c>
      <c r="B22" t="s">
        <v>221</v>
      </c>
      <c r="C22" s="1">
        <v>6.0999999999999999E-2</v>
      </c>
      <c r="D22">
        <v>9.5</v>
      </c>
      <c r="E22">
        <v>10.25</v>
      </c>
      <c r="F22" t="s">
        <v>288</v>
      </c>
      <c r="G22" t="s">
        <v>102</v>
      </c>
      <c r="H22" t="s">
        <v>289</v>
      </c>
      <c r="I22">
        <v>232.8</v>
      </c>
      <c r="J22" t="s">
        <v>120</v>
      </c>
    </row>
    <row r="23" spans="1:10">
      <c r="A23" t="s">
        <v>177</v>
      </c>
      <c r="B23" t="s">
        <v>223</v>
      </c>
      <c r="C23" s="1">
        <v>4.5999999999999999E-2</v>
      </c>
      <c r="D23">
        <v>8.25</v>
      </c>
      <c r="E23">
        <v>9.5</v>
      </c>
      <c r="F23" t="s">
        <v>56</v>
      </c>
      <c r="G23" t="s">
        <v>57</v>
      </c>
      <c r="H23" t="s">
        <v>130</v>
      </c>
      <c r="I23">
        <v>195.8</v>
      </c>
      <c r="J23" t="s">
        <v>284</v>
      </c>
    </row>
    <row r="24" spans="1:10">
      <c r="A24" t="s">
        <v>151</v>
      </c>
      <c r="B24" t="s">
        <v>223</v>
      </c>
      <c r="C24" s="1">
        <v>6.3E-2</v>
      </c>
      <c r="D24">
        <v>9</v>
      </c>
      <c r="E24">
        <v>9.5</v>
      </c>
      <c r="F24" t="s">
        <v>97</v>
      </c>
      <c r="G24" t="s">
        <v>65</v>
      </c>
      <c r="H24" t="s">
        <v>152</v>
      </c>
      <c r="I24">
        <v>254.4</v>
      </c>
      <c r="J24" t="s">
        <v>76</v>
      </c>
    </row>
    <row r="25" spans="1:10">
      <c r="A25" t="s">
        <v>182</v>
      </c>
      <c r="B25" t="s">
        <v>222</v>
      </c>
      <c r="C25" s="1">
        <v>5.3999999999999999E-2</v>
      </c>
      <c r="D25">
        <v>9</v>
      </c>
      <c r="E25">
        <v>10.5</v>
      </c>
      <c r="F25" t="s">
        <v>64</v>
      </c>
      <c r="G25" t="s">
        <v>57</v>
      </c>
      <c r="H25" t="s">
        <v>130</v>
      </c>
      <c r="I25">
        <v>240.2</v>
      </c>
      <c r="J25" t="s">
        <v>145</v>
      </c>
    </row>
    <row r="26" spans="1:10">
      <c r="A26" t="s">
        <v>210</v>
      </c>
      <c r="B26" t="s">
        <v>223</v>
      </c>
      <c r="C26" s="1">
        <v>0.06</v>
      </c>
      <c r="D26">
        <v>8.75</v>
      </c>
      <c r="E26">
        <v>9.5</v>
      </c>
      <c r="F26" t="s">
        <v>64</v>
      </c>
      <c r="G26" t="s">
        <v>65</v>
      </c>
      <c r="H26" t="s">
        <v>278</v>
      </c>
      <c r="I26">
        <v>220.8</v>
      </c>
      <c r="J26" t="s">
        <v>66</v>
      </c>
    </row>
    <row r="27" spans="1:10">
      <c r="A27" t="s">
        <v>165</v>
      </c>
      <c r="B27" t="s">
        <v>222</v>
      </c>
      <c r="C27" s="1">
        <v>3.9E-2</v>
      </c>
      <c r="D27">
        <v>9</v>
      </c>
      <c r="E27">
        <v>10.5</v>
      </c>
      <c r="F27" t="s">
        <v>65</v>
      </c>
      <c r="G27" t="s">
        <v>89</v>
      </c>
      <c r="H27" t="s">
        <v>154</v>
      </c>
      <c r="I27">
        <v>214</v>
      </c>
      <c r="J27" t="s">
        <v>166</v>
      </c>
    </row>
    <row r="28" spans="1:10">
      <c r="A28" t="s">
        <v>187</v>
      </c>
      <c r="B28" t="s">
        <v>224</v>
      </c>
      <c r="C28" t="s">
        <v>280</v>
      </c>
      <c r="D28" t="s">
        <v>281</v>
      </c>
      <c r="E28" t="s">
        <v>281</v>
      </c>
      <c r="I28" t="s">
        <v>281</v>
      </c>
    </row>
    <row r="29" spans="1:10">
      <c r="A29" t="s">
        <v>121</v>
      </c>
      <c r="B29" t="s">
        <v>222</v>
      </c>
      <c r="C29" s="1">
        <v>6.7000000000000004E-2</v>
      </c>
      <c r="D29">
        <v>8.75</v>
      </c>
      <c r="E29">
        <v>9.75</v>
      </c>
      <c r="F29" t="s">
        <v>65</v>
      </c>
      <c r="G29" t="s">
        <v>288</v>
      </c>
      <c r="H29" t="s">
        <v>122</v>
      </c>
      <c r="I29">
        <v>212.6</v>
      </c>
      <c r="J29" t="s">
        <v>291</v>
      </c>
    </row>
    <row r="30" spans="1:10">
      <c r="A30" t="s">
        <v>135</v>
      </c>
      <c r="B30" t="s">
        <v>224</v>
      </c>
      <c r="C30" s="1">
        <v>0.04</v>
      </c>
      <c r="D30">
        <v>8.75</v>
      </c>
      <c r="E30">
        <v>8.5</v>
      </c>
      <c r="F30" t="s">
        <v>123</v>
      </c>
      <c r="G30" t="s">
        <v>276</v>
      </c>
      <c r="H30" t="s">
        <v>136</v>
      </c>
      <c r="I30">
        <v>185.2</v>
      </c>
      <c r="J30" t="s">
        <v>89</v>
      </c>
    </row>
    <row r="31" spans="1:10">
      <c r="A31" t="s">
        <v>144</v>
      </c>
      <c r="B31" t="s">
        <v>223</v>
      </c>
      <c r="C31" s="1">
        <v>5.7000000000000002E-2</v>
      </c>
      <c r="D31">
        <v>9</v>
      </c>
      <c r="E31">
        <v>10</v>
      </c>
      <c r="F31" t="s">
        <v>75</v>
      </c>
      <c r="G31" t="s">
        <v>145</v>
      </c>
      <c r="H31" t="s">
        <v>122</v>
      </c>
      <c r="I31">
        <v>191.6</v>
      </c>
      <c r="J31" t="s">
        <v>131</v>
      </c>
    </row>
    <row r="32" spans="1:10">
      <c r="A32" t="s">
        <v>112</v>
      </c>
      <c r="B32" t="s">
        <v>224</v>
      </c>
      <c r="C32" s="1">
        <v>3.9E-2</v>
      </c>
      <c r="D32">
        <v>8.25</v>
      </c>
      <c r="E32">
        <v>9.5</v>
      </c>
      <c r="F32" t="s">
        <v>113</v>
      </c>
      <c r="G32" t="s">
        <v>114</v>
      </c>
      <c r="H32" t="s">
        <v>115</v>
      </c>
      <c r="I32">
        <v>169.2</v>
      </c>
      <c r="J32" t="s">
        <v>277</v>
      </c>
    </row>
    <row r="33" spans="1:10">
      <c r="A33" t="s">
        <v>185</v>
      </c>
      <c r="B33" t="s">
        <v>225</v>
      </c>
      <c r="C33" s="1">
        <v>0.05</v>
      </c>
      <c r="D33">
        <v>8.25</v>
      </c>
      <c r="E33">
        <v>8.5</v>
      </c>
      <c r="F33" t="s">
        <v>81</v>
      </c>
      <c r="G33" t="s">
        <v>82</v>
      </c>
      <c r="H33" t="s">
        <v>83</v>
      </c>
      <c r="I33">
        <v>194.2</v>
      </c>
      <c r="J33" t="s">
        <v>279</v>
      </c>
    </row>
    <row r="34" spans="1:10">
      <c r="A34" t="s">
        <v>116</v>
      </c>
      <c r="B34" t="s">
        <v>222</v>
      </c>
      <c r="C34" s="1">
        <v>0.05</v>
      </c>
      <c r="D34">
        <v>9.25</v>
      </c>
      <c r="E34">
        <v>10.5</v>
      </c>
      <c r="F34" t="s">
        <v>102</v>
      </c>
      <c r="G34" t="s">
        <v>117</v>
      </c>
      <c r="H34" t="s">
        <v>118</v>
      </c>
      <c r="I34">
        <v>218.6</v>
      </c>
      <c r="J34" t="s">
        <v>286</v>
      </c>
    </row>
    <row r="35" spans="1:10">
      <c r="A35" t="s">
        <v>110</v>
      </c>
      <c r="B35" t="s">
        <v>224</v>
      </c>
      <c r="C35" s="1">
        <v>5.0999999999999997E-2</v>
      </c>
      <c r="D35">
        <v>8</v>
      </c>
      <c r="E35">
        <v>8.25</v>
      </c>
      <c r="F35" t="s">
        <v>296</v>
      </c>
      <c r="G35" t="s">
        <v>85</v>
      </c>
      <c r="H35" t="s">
        <v>111</v>
      </c>
      <c r="I35">
        <v>180.4</v>
      </c>
      <c r="J35" t="s">
        <v>277</v>
      </c>
    </row>
    <row r="36" spans="1:10">
      <c r="A36" t="s">
        <v>147</v>
      </c>
      <c r="B36" t="s">
        <v>225</v>
      </c>
      <c r="C36" s="1">
        <v>6.0999999999999999E-2</v>
      </c>
      <c r="D36">
        <v>8.25</v>
      </c>
      <c r="E36">
        <v>8.5</v>
      </c>
      <c r="F36" t="s">
        <v>54</v>
      </c>
      <c r="G36" t="s">
        <v>276</v>
      </c>
      <c r="H36" t="s">
        <v>62</v>
      </c>
      <c r="I36">
        <v>202.4</v>
      </c>
      <c r="J36" t="s">
        <v>65</v>
      </c>
    </row>
    <row r="37" spans="1:10">
      <c r="A37" t="s">
        <v>179</v>
      </c>
      <c r="B37" t="s">
        <v>222</v>
      </c>
      <c r="C37" s="1">
        <v>8.5000000000000006E-2</v>
      </c>
      <c r="D37">
        <v>8.75</v>
      </c>
      <c r="E37">
        <v>9.5</v>
      </c>
      <c r="F37" t="s">
        <v>145</v>
      </c>
      <c r="G37" t="s">
        <v>132</v>
      </c>
      <c r="H37" t="s">
        <v>285</v>
      </c>
      <c r="I37">
        <v>210.4</v>
      </c>
      <c r="J37" t="s">
        <v>290</v>
      </c>
    </row>
    <row r="38" spans="1:10">
      <c r="A38" t="s">
        <v>295</v>
      </c>
      <c r="B38" t="s">
        <v>225</v>
      </c>
      <c r="C38" s="1">
        <v>0.05</v>
      </c>
      <c r="D38">
        <v>7.5</v>
      </c>
      <c r="E38">
        <v>9.25</v>
      </c>
      <c r="F38" t="s">
        <v>296</v>
      </c>
      <c r="G38" t="s">
        <v>297</v>
      </c>
      <c r="H38" t="s">
        <v>298</v>
      </c>
      <c r="I38">
        <v>179</v>
      </c>
      <c r="J38" t="s">
        <v>54</v>
      </c>
    </row>
    <row r="39" spans="1:10">
      <c r="A39" t="s">
        <v>148</v>
      </c>
      <c r="B39" t="s">
        <v>222</v>
      </c>
      <c r="C39" s="1">
        <v>7.8E-2</v>
      </c>
      <c r="D39">
        <v>8.5</v>
      </c>
      <c r="E39">
        <v>9.25</v>
      </c>
      <c r="F39" t="s">
        <v>64</v>
      </c>
      <c r="G39" t="s">
        <v>57</v>
      </c>
      <c r="H39" t="s">
        <v>58</v>
      </c>
      <c r="I39">
        <v>220</v>
      </c>
      <c r="J39" t="s">
        <v>104</v>
      </c>
    </row>
    <row r="40" spans="1:10">
      <c r="A40" t="s">
        <v>159</v>
      </c>
      <c r="B40" t="s">
        <v>225</v>
      </c>
      <c r="C40" s="1">
        <v>7.4999999999999997E-2</v>
      </c>
      <c r="D40">
        <v>8.25</v>
      </c>
      <c r="E40">
        <v>8.5</v>
      </c>
      <c r="F40" t="s">
        <v>158</v>
      </c>
      <c r="G40" t="s">
        <v>277</v>
      </c>
      <c r="H40" t="s">
        <v>88</v>
      </c>
      <c r="I40">
        <v>190.8</v>
      </c>
      <c r="J40" t="s">
        <v>82</v>
      </c>
    </row>
    <row r="41" spans="1:10">
      <c r="A41" t="s">
        <v>205</v>
      </c>
      <c r="B41" t="s">
        <v>225</v>
      </c>
      <c r="C41" s="1">
        <v>5.6000000000000001E-2</v>
      </c>
      <c r="D41">
        <v>8</v>
      </c>
      <c r="E41">
        <v>9.25</v>
      </c>
      <c r="F41" t="s">
        <v>127</v>
      </c>
      <c r="G41" t="s">
        <v>97</v>
      </c>
      <c r="H41" t="s">
        <v>70</v>
      </c>
      <c r="I41">
        <v>216.4</v>
      </c>
      <c r="J41" t="s">
        <v>66</v>
      </c>
    </row>
    <row r="42" spans="1:10">
      <c r="A42" t="s">
        <v>208</v>
      </c>
      <c r="B42" t="s">
        <v>225</v>
      </c>
      <c r="C42" s="1">
        <v>5.0999999999999997E-2</v>
      </c>
      <c r="D42">
        <v>8.75</v>
      </c>
      <c r="E42">
        <v>8.75</v>
      </c>
      <c r="F42" t="s">
        <v>107</v>
      </c>
      <c r="G42" t="s">
        <v>277</v>
      </c>
      <c r="H42" t="s">
        <v>58</v>
      </c>
      <c r="I42">
        <v>212.6</v>
      </c>
      <c r="J42" t="s">
        <v>288</v>
      </c>
    </row>
    <row r="43" spans="1:10">
      <c r="A43" t="s">
        <v>169</v>
      </c>
      <c r="C43" t="s">
        <v>280</v>
      </c>
      <c r="D43" t="s">
        <v>281</v>
      </c>
      <c r="E43" t="s">
        <v>281</v>
      </c>
      <c r="I43" t="s">
        <v>281</v>
      </c>
    </row>
    <row r="44" spans="1:10">
      <c r="A44" t="s">
        <v>176</v>
      </c>
      <c r="B44" t="s">
        <v>223</v>
      </c>
      <c r="C44" s="1">
        <v>4.9000000000000002E-2</v>
      </c>
      <c r="D44">
        <v>8.5</v>
      </c>
      <c r="E44">
        <v>9.5</v>
      </c>
      <c r="F44" t="s">
        <v>56</v>
      </c>
      <c r="G44" t="s">
        <v>287</v>
      </c>
      <c r="H44" t="s">
        <v>58</v>
      </c>
      <c r="I44">
        <v>208.8</v>
      </c>
      <c r="J44" t="s">
        <v>150</v>
      </c>
    </row>
    <row r="45" spans="1:10">
      <c r="A45" t="s">
        <v>59</v>
      </c>
      <c r="B45" t="s">
        <v>224</v>
      </c>
      <c r="C45" s="1">
        <v>4.9000000000000002E-2</v>
      </c>
      <c r="D45">
        <v>8.25</v>
      </c>
      <c r="E45">
        <v>9</v>
      </c>
      <c r="F45" t="s">
        <v>60</v>
      </c>
      <c r="G45" t="s">
        <v>61</v>
      </c>
      <c r="H45" t="s">
        <v>62</v>
      </c>
      <c r="I45">
        <v>181.2</v>
      </c>
      <c r="J45" t="s">
        <v>63</v>
      </c>
    </row>
    <row r="46" spans="1:10">
      <c r="A46" t="s">
        <v>108</v>
      </c>
      <c r="B46" t="s">
        <v>225</v>
      </c>
      <c r="C46" s="1">
        <v>5.7000000000000002E-2</v>
      </c>
      <c r="D46">
        <v>8</v>
      </c>
      <c r="E46">
        <v>8.75</v>
      </c>
      <c r="F46" t="s">
        <v>109</v>
      </c>
      <c r="G46" t="s">
        <v>61</v>
      </c>
      <c r="H46" t="s">
        <v>93</v>
      </c>
      <c r="I46">
        <v>167.8</v>
      </c>
      <c r="J46" t="s">
        <v>86</v>
      </c>
    </row>
    <row r="47" spans="1:10">
      <c r="A47" t="s">
        <v>204</v>
      </c>
      <c r="B47" t="s">
        <v>223</v>
      </c>
      <c r="C47" s="1">
        <v>4.5999999999999999E-2</v>
      </c>
      <c r="D47">
        <v>9.25</v>
      </c>
      <c r="E47">
        <v>9.25</v>
      </c>
      <c r="F47" t="s">
        <v>65</v>
      </c>
      <c r="G47" t="s">
        <v>279</v>
      </c>
      <c r="H47" t="s">
        <v>79</v>
      </c>
      <c r="I47">
        <v>209.6</v>
      </c>
      <c r="J47" t="s">
        <v>120</v>
      </c>
    </row>
    <row r="48" spans="1:10">
      <c r="A48" t="s">
        <v>129</v>
      </c>
      <c r="B48" t="s">
        <v>223</v>
      </c>
      <c r="C48" s="1">
        <v>4.8000000000000001E-2</v>
      </c>
      <c r="D48">
        <v>8</v>
      </c>
      <c r="E48">
        <v>8.5</v>
      </c>
      <c r="F48" t="s">
        <v>82</v>
      </c>
      <c r="G48" t="s">
        <v>69</v>
      </c>
      <c r="H48" t="s">
        <v>130</v>
      </c>
      <c r="I48">
        <v>195.2</v>
      </c>
      <c r="J48" t="s">
        <v>131</v>
      </c>
    </row>
    <row r="49" spans="1:10">
      <c r="A49" t="s">
        <v>216</v>
      </c>
      <c r="B49" t="s">
        <v>224</v>
      </c>
      <c r="C49" s="1">
        <v>0.05</v>
      </c>
      <c r="D49">
        <v>8.5</v>
      </c>
      <c r="E49">
        <v>9</v>
      </c>
      <c r="F49" t="s">
        <v>297</v>
      </c>
      <c r="G49" t="s">
        <v>276</v>
      </c>
      <c r="H49" t="s">
        <v>88</v>
      </c>
      <c r="I49">
        <v>222.2</v>
      </c>
      <c r="J49" t="s">
        <v>89</v>
      </c>
    </row>
    <row r="50" spans="1:10">
      <c r="A50" t="s">
        <v>217</v>
      </c>
      <c r="B50" t="s">
        <v>222</v>
      </c>
      <c r="C50" s="1">
        <v>5.6000000000000001E-2</v>
      </c>
      <c r="D50">
        <v>8.5</v>
      </c>
      <c r="E50">
        <v>9</v>
      </c>
      <c r="F50" t="s">
        <v>279</v>
      </c>
      <c r="G50" t="s">
        <v>132</v>
      </c>
      <c r="H50" t="s">
        <v>289</v>
      </c>
      <c r="I50">
        <v>227.2</v>
      </c>
      <c r="J50" t="s">
        <v>104</v>
      </c>
    </row>
    <row r="51" spans="1:10">
      <c r="A51" t="s">
        <v>167</v>
      </c>
      <c r="B51" t="s">
        <v>68</v>
      </c>
      <c r="C51" s="1">
        <v>4.7E-2</v>
      </c>
      <c r="D51">
        <v>8.75</v>
      </c>
      <c r="E51">
        <v>9.25</v>
      </c>
      <c r="F51" t="s">
        <v>86</v>
      </c>
      <c r="G51" t="s">
        <v>277</v>
      </c>
      <c r="H51" t="s">
        <v>152</v>
      </c>
      <c r="I51">
        <v>196.8</v>
      </c>
      <c r="J51" t="s">
        <v>131</v>
      </c>
    </row>
    <row r="52" spans="1:10">
      <c r="A52" t="s">
        <v>214</v>
      </c>
      <c r="B52" t="s">
        <v>222</v>
      </c>
      <c r="C52" s="1">
        <v>5.0999999999999997E-2</v>
      </c>
      <c r="D52">
        <v>9.25</v>
      </c>
      <c r="E52">
        <v>10.75</v>
      </c>
      <c r="F52" t="s">
        <v>283</v>
      </c>
      <c r="G52" t="s">
        <v>102</v>
      </c>
      <c r="H52" t="s">
        <v>285</v>
      </c>
      <c r="I52">
        <v>256.2</v>
      </c>
      <c r="J52" t="s">
        <v>128</v>
      </c>
    </row>
    <row r="53" spans="1:10">
      <c r="A53" t="s">
        <v>149</v>
      </c>
      <c r="B53" t="s">
        <v>225</v>
      </c>
      <c r="C53" s="1">
        <v>4.9000000000000002E-2</v>
      </c>
      <c r="D53">
        <v>9</v>
      </c>
      <c r="E53">
        <v>10</v>
      </c>
      <c r="F53" t="s">
        <v>276</v>
      </c>
      <c r="G53" t="s">
        <v>64</v>
      </c>
      <c r="H53" t="s">
        <v>83</v>
      </c>
      <c r="I53">
        <v>205.6</v>
      </c>
      <c r="J53" t="s">
        <v>150</v>
      </c>
    </row>
    <row r="54" spans="1:10">
      <c r="A54" t="s">
        <v>71</v>
      </c>
      <c r="B54" t="s">
        <v>221</v>
      </c>
      <c r="C54" s="1">
        <v>7.8E-2</v>
      </c>
      <c r="D54">
        <v>9.5</v>
      </c>
      <c r="E54">
        <v>10.25</v>
      </c>
      <c r="F54" t="s">
        <v>72</v>
      </c>
      <c r="G54" t="s">
        <v>292</v>
      </c>
      <c r="H54" t="s">
        <v>73</v>
      </c>
      <c r="I54">
        <v>237.2</v>
      </c>
      <c r="J54" t="s">
        <v>74</v>
      </c>
    </row>
    <row r="55" spans="1:10">
      <c r="A55" t="s">
        <v>203</v>
      </c>
      <c r="B55" t="s">
        <v>223</v>
      </c>
      <c r="C55" s="1">
        <v>5.8999999999999997E-2</v>
      </c>
      <c r="D55">
        <v>8.75</v>
      </c>
      <c r="E55">
        <v>10</v>
      </c>
      <c r="F55" t="s">
        <v>86</v>
      </c>
      <c r="G55" t="s">
        <v>97</v>
      </c>
      <c r="H55" t="s">
        <v>130</v>
      </c>
      <c r="I55">
        <v>224.2</v>
      </c>
      <c r="J55" t="s">
        <v>72</v>
      </c>
    </row>
    <row r="56" spans="1:10">
      <c r="A56" t="s">
        <v>163</v>
      </c>
      <c r="B56" t="s">
        <v>222</v>
      </c>
      <c r="C56" s="1">
        <v>0.14000000000000001</v>
      </c>
      <c r="D56">
        <v>9.5</v>
      </c>
      <c r="E56">
        <v>9.25</v>
      </c>
      <c r="F56" t="s">
        <v>283</v>
      </c>
      <c r="G56" t="s">
        <v>279</v>
      </c>
      <c r="H56" t="s">
        <v>164</v>
      </c>
      <c r="I56">
        <v>255.8</v>
      </c>
      <c r="J56" t="s">
        <v>103</v>
      </c>
    </row>
    <row r="57" spans="1:10">
      <c r="A57" t="s">
        <v>160</v>
      </c>
      <c r="B57" t="s">
        <v>221</v>
      </c>
      <c r="C57" s="1">
        <v>6.3E-2</v>
      </c>
      <c r="D57">
        <v>9.5</v>
      </c>
      <c r="E57">
        <v>11</v>
      </c>
      <c r="F57" t="s">
        <v>150</v>
      </c>
      <c r="G57" t="s">
        <v>131</v>
      </c>
      <c r="H57" t="s">
        <v>161</v>
      </c>
      <c r="I57">
        <v>225.8</v>
      </c>
      <c r="J57" t="s">
        <v>162</v>
      </c>
    </row>
    <row r="58" spans="1:10">
      <c r="A58" t="s">
        <v>199</v>
      </c>
      <c r="B58" t="s">
        <v>225</v>
      </c>
      <c r="C58" s="1">
        <v>5.8999999999999997E-2</v>
      </c>
      <c r="D58">
        <v>8.5</v>
      </c>
      <c r="E58">
        <v>8.75</v>
      </c>
      <c r="F58" t="s">
        <v>276</v>
      </c>
      <c r="G58" t="s">
        <v>277</v>
      </c>
      <c r="H58" t="s">
        <v>278</v>
      </c>
      <c r="I58">
        <v>203.8</v>
      </c>
      <c r="J58" t="s">
        <v>279</v>
      </c>
    </row>
    <row r="59" spans="1:10">
      <c r="A59" t="s">
        <v>189</v>
      </c>
      <c r="B59" t="s">
        <v>221</v>
      </c>
      <c r="C59" s="1">
        <v>4.4999999999999998E-2</v>
      </c>
      <c r="D59">
        <v>9.25</v>
      </c>
      <c r="E59">
        <v>9.5</v>
      </c>
      <c r="F59" t="s">
        <v>284</v>
      </c>
      <c r="G59" t="s">
        <v>76</v>
      </c>
      <c r="H59" t="s">
        <v>77</v>
      </c>
      <c r="I59">
        <v>216.6</v>
      </c>
      <c r="J59" t="s">
        <v>292</v>
      </c>
    </row>
    <row r="60" spans="1:10">
      <c r="A60" t="s">
        <v>67</v>
      </c>
      <c r="B60" t="s">
        <v>68</v>
      </c>
      <c r="C60" s="1">
        <v>2.9000000000000001E-2</v>
      </c>
      <c r="D60">
        <v>9</v>
      </c>
      <c r="E60">
        <v>9.5</v>
      </c>
      <c r="F60" t="s">
        <v>63</v>
      </c>
      <c r="G60" t="s">
        <v>69</v>
      </c>
      <c r="H60" t="s">
        <v>70</v>
      </c>
      <c r="I60">
        <v>203.2</v>
      </c>
      <c r="J60" t="s">
        <v>290</v>
      </c>
    </row>
    <row r="61" spans="1:10">
      <c r="A61" t="s">
        <v>178</v>
      </c>
      <c r="B61" t="s">
        <v>222</v>
      </c>
      <c r="C61" s="1">
        <v>8.5999999999999993E-2</v>
      </c>
      <c r="D61">
        <v>9</v>
      </c>
      <c r="E61">
        <v>10.25</v>
      </c>
      <c r="F61" t="s">
        <v>139</v>
      </c>
      <c r="G61" t="s">
        <v>69</v>
      </c>
      <c r="H61" t="s">
        <v>79</v>
      </c>
      <c r="I61">
        <v>230.4</v>
      </c>
      <c r="J61" t="s">
        <v>105</v>
      </c>
    </row>
    <row r="62" spans="1:10">
      <c r="A62" t="s">
        <v>106</v>
      </c>
      <c r="B62" t="s">
        <v>225</v>
      </c>
      <c r="C62" s="1">
        <v>8.4000000000000005E-2</v>
      </c>
      <c r="D62">
        <v>8.25</v>
      </c>
      <c r="E62">
        <v>10</v>
      </c>
      <c r="F62" t="s">
        <v>107</v>
      </c>
      <c r="G62" t="s">
        <v>81</v>
      </c>
      <c r="H62" t="s">
        <v>83</v>
      </c>
      <c r="I62">
        <v>209.6</v>
      </c>
      <c r="J62" t="s">
        <v>287</v>
      </c>
    </row>
    <row r="63" spans="1:10">
      <c r="A63" t="s">
        <v>173</v>
      </c>
      <c r="B63" t="s">
        <v>225</v>
      </c>
      <c r="C63" s="1">
        <v>6.0999999999999999E-2</v>
      </c>
      <c r="D63">
        <v>8.5</v>
      </c>
      <c r="E63">
        <v>9</v>
      </c>
      <c r="F63" t="s">
        <v>85</v>
      </c>
      <c r="G63" t="s">
        <v>276</v>
      </c>
      <c r="H63" t="s">
        <v>174</v>
      </c>
      <c r="I63">
        <v>206.6</v>
      </c>
      <c r="J63" t="s">
        <v>288</v>
      </c>
    </row>
    <row r="64" spans="1:10">
      <c r="A64" t="s">
        <v>153</v>
      </c>
      <c r="B64" t="s">
        <v>68</v>
      </c>
      <c r="C64" s="1">
        <v>6.7000000000000004E-2</v>
      </c>
      <c r="D64">
        <v>9</v>
      </c>
      <c r="E64">
        <v>10</v>
      </c>
      <c r="F64" t="s">
        <v>69</v>
      </c>
      <c r="G64" t="s">
        <v>66</v>
      </c>
      <c r="H64" t="s">
        <v>154</v>
      </c>
      <c r="I64">
        <v>250.8</v>
      </c>
      <c r="J64" t="s">
        <v>80</v>
      </c>
    </row>
    <row r="65" spans="1:10">
      <c r="A65" t="s">
        <v>256</v>
      </c>
      <c r="B65" t="s">
        <v>223</v>
      </c>
      <c r="C65" t="s">
        <v>280</v>
      </c>
      <c r="D65" t="s">
        <v>281</v>
      </c>
      <c r="E65" t="s">
        <v>281</v>
      </c>
      <c r="I65" t="s">
        <v>281</v>
      </c>
    </row>
    <row r="66" spans="1:10">
      <c r="A66" t="s">
        <v>201</v>
      </c>
      <c r="B66" t="s">
        <v>225</v>
      </c>
      <c r="C66" t="s">
        <v>280</v>
      </c>
      <c r="D66">
        <v>9</v>
      </c>
      <c r="E66">
        <v>9</v>
      </c>
      <c r="F66" t="s">
        <v>86</v>
      </c>
      <c r="G66" t="s">
        <v>97</v>
      </c>
      <c r="H66" t="s">
        <v>58</v>
      </c>
      <c r="I66" t="s">
        <v>281</v>
      </c>
      <c r="J66" t="s">
        <v>132</v>
      </c>
    </row>
    <row r="67" spans="1:10">
      <c r="A67" t="s">
        <v>206</v>
      </c>
      <c r="B67" t="s">
        <v>224</v>
      </c>
      <c r="C67" s="1">
        <v>9.8000000000000004E-2</v>
      </c>
      <c r="D67">
        <v>7.75</v>
      </c>
      <c r="E67">
        <v>8</v>
      </c>
      <c r="F67" t="s">
        <v>155</v>
      </c>
      <c r="G67" t="s">
        <v>156</v>
      </c>
      <c r="H67" t="s">
        <v>157</v>
      </c>
      <c r="I67">
        <v>180</v>
      </c>
      <c r="J67" t="s">
        <v>158</v>
      </c>
    </row>
    <row r="68" spans="1:10">
      <c r="A68" t="s">
        <v>168</v>
      </c>
      <c r="B68" t="s">
        <v>222</v>
      </c>
      <c r="C68" s="1">
        <v>6.2E-2</v>
      </c>
      <c r="D68">
        <v>8.75</v>
      </c>
      <c r="E68">
        <v>8.5</v>
      </c>
      <c r="F68" t="s">
        <v>89</v>
      </c>
      <c r="G68" t="s">
        <v>279</v>
      </c>
      <c r="H68" t="s">
        <v>154</v>
      </c>
      <c r="I68">
        <v>227.2</v>
      </c>
      <c r="J68" t="s">
        <v>72</v>
      </c>
    </row>
    <row r="69" spans="1:10">
      <c r="A69" t="s">
        <v>98</v>
      </c>
      <c r="B69" t="s">
        <v>221</v>
      </c>
      <c r="C69" s="1">
        <v>6.8000000000000005E-2</v>
      </c>
      <c r="D69">
        <v>10.5</v>
      </c>
      <c r="E69">
        <v>10.5</v>
      </c>
      <c r="F69" t="s">
        <v>99</v>
      </c>
      <c r="G69" t="s">
        <v>294</v>
      </c>
      <c r="H69" t="s">
        <v>100</v>
      </c>
      <c r="I69">
        <v>288.8</v>
      </c>
      <c r="J69" t="s">
        <v>101</v>
      </c>
    </row>
    <row r="70" spans="1:10">
      <c r="A70" t="s">
        <v>265</v>
      </c>
      <c r="B70" t="s">
        <v>225</v>
      </c>
      <c r="C70" s="1">
        <v>8.4000000000000005E-2</v>
      </c>
      <c r="D70">
        <v>9.5</v>
      </c>
      <c r="E70">
        <v>9.75</v>
      </c>
      <c r="F70" t="s">
        <v>123</v>
      </c>
      <c r="G70" t="s">
        <v>107</v>
      </c>
      <c r="H70" t="s">
        <v>58</v>
      </c>
      <c r="I70">
        <v>235.4</v>
      </c>
      <c r="J70" t="s">
        <v>72</v>
      </c>
    </row>
    <row r="71" spans="1:10">
      <c r="A71" t="s">
        <v>137</v>
      </c>
      <c r="B71" t="s">
        <v>138</v>
      </c>
      <c r="C71" s="1">
        <v>0.04</v>
      </c>
      <c r="D71">
        <v>9.5</v>
      </c>
      <c r="E71">
        <v>9.25</v>
      </c>
      <c r="F71" t="s">
        <v>127</v>
      </c>
      <c r="G71" t="s">
        <v>139</v>
      </c>
      <c r="H71" t="s">
        <v>87</v>
      </c>
      <c r="I71">
        <v>204.6</v>
      </c>
      <c r="J71" t="s">
        <v>287</v>
      </c>
    </row>
    <row r="72" spans="1:10">
      <c r="A72" t="s">
        <v>84</v>
      </c>
      <c r="B72" t="s">
        <v>225</v>
      </c>
      <c r="C72" s="1">
        <v>4.1000000000000002E-2</v>
      </c>
      <c r="D72">
        <v>9.25</v>
      </c>
      <c r="E72">
        <v>10.75</v>
      </c>
      <c r="F72" t="s">
        <v>85</v>
      </c>
      <c r="G72" t="s">
        <v>86</v>
      </c>
      <c r="H72" t="s">
        <v>87</v>
      </c>
      <c r="I72">
        <v>192.4</v>
      </c>
      <c r="J72" t="s">
        <v>283</v>
      </c>
    </row>
    <row r="73" spans="1:10">
      <c r="A73" t="s">
        <v>170</v>
      </c>
      <c r="B73" t="s">
        <v>224</v>
      </c>
      <c r="C73" s="1">
        <v>6.6000000000000003E-2</v>
      </c>
      <c r="D73">
        <v>8</v>
      </c>
      <c r="E73">
        <v>9.75</v>
      </c>
      <c r="F73" t="s">
        <v>171</v>
      </c>
      <c r="G73" t="s">
        <v>94</v>
      </c>
      <c r="H73" t="s">
        <v>172</v>
      </c>
      <c r="I73">
        <v>172.4</v>
      </c>
      <c r="J73" t="s">
        <v>61</v>
      </c>
    </row>
    <row r="74" spans="1:10">
      <c r="A74" t="s">
        <v>180</v>
      </c>
      <c r="B74" t="s">
        <v>224</v>
      </c>
      <c r="C74" s="1">
        <v>6.5000000000000002E-2</v>
      </c>
      <c r="D74">
        <v>8.25</v>
      </c>
      <c r="E74">
        <v>9.5</v>
      </c>
      <c r="F74" t="s">
        <v>276</v>
      </c>
      <c r="G74" t="s">
        <v>277</v>
      </c>
      <c r="H74" t="s">
        <v>62</v>
      </c>
      <c r="I74">
        <v>194.4</v>
      </c>
      <c r="J74" t="s">
        <v>107</v>
      </c>
    </row>
    <row r="75" spans="1:10">
      <c r="A75" t="s">
        <v>78</v>
      </c>
      <c r="B75" t="s">
        <v>222</v>
      </c>
      <c r="C75" s="1">
        <v>6.0999999999999999E-2</v>
      </c>
      <c r="D75">
        <v>9.5</v>
      </c>
      <c r="E75">
        <v>10.75</v>
      </c>
      <c r="F75" t="s">
        <v>65</v>
      </c>
      <c r="G75" t="s">
        <v>283</v>
      </c>
      <c r="H75" t="s">
        <v>79</v>
      </c>
      <c r="I75">
        <v>245.4</v>
      </c>
      <c r="J75" t="s">
        <v>80</v>
      </c>
    </row>
    <row r="76" spans="1:10">
      <c r="A76" t="s">
        <v>198</v>
      </c>
      <c r="B76" t="s">
        <v>225</v>
      </c>
      <c r="C76" s="1">
        <v>7.0999999999999994E-2</v>
      </c>
      <c r="D76">
        <v>8</v>
      </c>
      <c r="E76">
        <v>8.75</v>
      </c>
      <c r="F76" t="s">
        <v>86</v>
      </c>
      <c r="G76" t="s">
        <v>97</v>
      </c>
      <c r="H76" t="s">
        <v>83</v>
      </c>
      <c r="I76">
        <v>192.4</v>
      </c>
      <c r="J76" t="s">
        <v>54</v>
      </c>
    </row>
    <row r="77" spans="1:10">
      <c r="A77" t="s">
        <v>146</v>
      </c>
      <c r="B77" t="s">
        <v>225</v>
      </c>
      <c r="C77" s="1">
        <v>7.4999999999999997E-2</v>
      </c>
      <c r="D77">
        <v>8.5</v>
      </c>
      <c r="E77">
        <v>9.5</v>
      </c>
      <c r="F77" t="s">
        <v>86</v>
      </c>
      <c r="G77" t="s">
        <v>277</v>
      </c>
      <c r="H77" t="s">
        <v>87</v>
      </c>
      <c r="I77">
        <v>206.4</v>
      </c>
      <c r="J77" t="s">
        <v>97</v>
      </c>
    </row>
    <row r="78" spans="1:10">
      <c r="A78" t="s">
        <v>184</v>
      </c>
      <c r="B78" t="s">
        <v>222</v>
      </c>
      <c r="C78" t="s">
        <v>280</v>
      </c>
      <c r="D78" t="s">
        <v>281</v>
      </c>
      <c r="E78" t="s">
        <v>281</v>
      </c>
      <c r="I78" t="s">
        <v>281</v>
      </c>
    </row>
  </sheetData>
  <autoFilter ref="A1:J1"/>
  <sortState ref="A2:J78">
    <sortCondition ref="A2:A78"/>
  </sortState>
  <pageMargins left="0.7" right="0.7" top="0.75" bottom="0.75" header="0.3" footer="0.3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</vt:lpstr>
      <vt:lpstr>nba.com measureables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Connor Reed</cp:lastModifiedBy>
  <dcterms:created xsi:type="dcterms:W3CDTF">2019-06-19T17:04:52Z</dcterms:created>
  <dcterms:modified xsi:type="dcterms:W3CDTF">2019-06-19T22:21:17Z</dcterms:modified>
</cp:coreProperties>
</file>