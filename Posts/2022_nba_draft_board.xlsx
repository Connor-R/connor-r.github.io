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autoCompressPictures="0" defaultThemeVersion="166925"/>
  <mc:AlternateContent xmlns:mc="http://schemas.openxmlformats.org/markup-compatibility/2006">
    <mc:Choice Requires="x15">
      <x15ac:absPath xmlns:x15ac="http://schemas.microsoft.com/office/spreadsheetml/2010/11/ac" url="/Users/connorreed/Dropbox/Desktop_Files/Work_Things/connor-r.github.io/Posts/"/>
    </mc:Choice>
  </mc:AlternateContent>
  <xr:revisionPtr revIDLastSave="0" documentId="13_ncr:1_{DE588354-C70F-EA4C-BCD6-DBFB7002CF68}" xr6:coauthVersionLast="43" xr6:coauthVersionMax="43" xr10:uidLastSave="{00000000-0000-0000-0000-000000000000}"/>
  <bookViews>
    <workbookView xWindow="1060" yWindow="460" windowWidth="26080" windowHeight="17540" activeTab="2" xr2:uid="{00000000-000D-0000-FFFF-FFFF00000000}"/>
  </bookViews>
  <sheets>
    <sheet name="board" sheetId="1" r:id="rId1"/>
    <sheet name="measureables" sheetId="2" r:id="rId2"/>
    <sheet name="actual" sheetId="4" r:id="rId3"/>
  </sheets>
  <definedNames>
    <definedName name="_xlnm._FilterDatabase" localSheetId="2" hidden="1">actual!$A$1:$H$61</definedName>
    <definedName name="_xlnm._FilterDatabase" localSheetId="0" hidden="1">board!$A$5:$AZ$105</definedName>
    <definedName name="_xlnm._FilterDatabase" localSheetId="1" hidden="1">measureables!$A$1:$J$1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H13" i="4" l="1"/>
  <c r="H12" i="4"/>
  <c r="H11" i="4"/>
  <c r="H9" i="4"/>
  <c r="AE105" i="1" l="1"/>
  <c r="AD105" i="1"/>
  <c r="AE104" i="1"/>
  <c r="AD104" i="1"/>
  <c r="AE103" i="1"/>
  <c r="AD103" i="1"/>
  <c r="AE102" i="1"/>
  <c r="AD102" i="1"/>
  <c r="AE101" i="1"/>
  <c r="AD101" i="1"/>
  <c r="AE100" i="1"/>
  <c r="AD100" i="1"/>
  <c r="AE99" i="1"/>
  <c r="AD99" i="1"/>
  <c r="AE98" i="1"/>
  <c r="AD98" i="1"/>
  <c r="AE97" i="1"/>
  <c r="AD97" i="1"/>
  <c r="AE96" i="1"/>
  <c r="AD96" i="1"/>
  <c r="AE95" i="1"/>
  <c r="AD95" i="1"/>
  <c r="AE94" i="1"/>
  <c r="AD94" i="1"/>
  <c r="AE93" i="1"/>
  <c r="AD93" i="1"/>
  <c r="AE92" i="1"/>
  <c r="AD92" i="1"/>
  <c r="AE91" i="1"/>
  <c r="AD91" i="1"/>
  <c r="AE90" i="1"/>
  <c r="AD90" i="1"/>
  <c r="AE89" i="1"/>
  <c r="AD89" i="1"/>
  <c r="AE88" i="1"/>
  <c r="AD88" i="1"/>
  <c r="AE87" i="1"/>
  <c r="AD87" i="1"/>
  <c r="AE86" i="1"/>
  <c r="AD86" i="1"/>
  <c r="AE85" i="1"/>
  <c r="AD85" i="1"/>
  <c r="AE84" i="1"/>
  <c r="AD84" i="1"/>
  <c r="AE83" i="1"/>
  <c r="AD83" i="1"/>
  <c r="AE82" i="1"/>
  <c r="AD82" i="1"/>
  <c r="AE81" i="1"/>
  <c r="AD81" i="1"/>
  <c r="AE80" i="1"/>
  <c r="AD80" i="1"/>
  <c r="AE79" i="1"/>
  <c r="AD79" i="1"/>
  <c r="AE78" i="1"/>
  <c r="AD78" i="1"/>
  <c r="AE77" i="1"/>
  <c r="AD77" i="1"/>
  <c r="AE76" i="1"/>
  <c r="AD76" i="1"/>
  <c r="AE75" i="1"/>
  <c r="AD75" i="1"/>
  <c r="AE74" i="1"/>
  <c r="AD74" i="1"/>
  <c r="AE73" i="1"/>
  <c r="AD73" i="1"/>
  <c r="AE72" i="1"/>
  <c r="AD72" i="1"/>
  <c r="AE71" i="1"/>
  <c r="AD71" i="1"/>
  <c r="AE70" i="1"/>
  <c r="AD70" i="1"/>
  <c r="AE69" i="1"/>
  <c r="AD69" i="1"/>
  <c r="AE68" i="1"/>
  <c r="AD68" i="1"/>
  <c r="AE67" i="1"/>
  <c r="AD67" i="1"/>
  <c r="AE66" i="1"/>
  <c r="AD66" i="1"/>
  <c r="AE65" i="1"/>
  <c r="AD65" i="1"/>
  <c r="AE64" i="1"/>
  <c r="AD64" i="1"/>
  <c r="AE63" i="1"/>
  <c r="AD63" i="1"/>
  <c r="AE62" i="1"/>
  <c r="AD62" i="1"/>
  <c r="AE61" i="1"/>
  <c r="AD61" i="1"/>
  <c r="AE60" i="1"/>
  <c r="AD60" i="1"/>
  <c r="AE59" i="1"/>
  <c r="AD59" i="1"/>
  <c r="AE58" i="1"/>
  <c r="AD58" i="1"/>
  <c r="AE57" i="1"/>
  <c r="AD57" i="1"/>
  <c r="AE56" i="1"/>
  <c r="AD56" i="1"/>
  <c r="AE55" i="1"/>
  <c r="AD55" i="1"/>
  <c r="AE54" i="1"/>
  <c r="AD54" i="1"/>
  <c r="AE53" i="1"/>
  <c r="AD53" i="1"/>
  <c r="AE52" i="1"/>
  <c r="AD52" i="1"/>
  <c r="AE51" i="1"/>
  <c r="AD51" i="1"/>
  <c r="AE50" i="1"/>
  <c r="AD50" i="1"/>
  <c r="AE49" i="1"/>
  <c r="AD49" i="1"/>
  <c r="AE48" i="1"/>
  <c r="AD48" i="1"/>
  <c r="AE47" i="1"/>
  <c r="AD47" i="1"/>
  <c r="AE46" i="1"/>
  <c r="AD46" i="1"/>
  <c r="AE45" i="1"/>
  <c r="AD45" i="1"/>
  <c r="AE44" i="1"/>
  <c r="AD44" i="1"/>
  <c r="AE43" i="1"/>
  <c r="AD43" i="1"/>
  <c r="AE42" i="1"/>
  <c r="AD42" i="1"/>
  <c r="AE41" i="1"/>
  <c r="AD41" i="1"/>
  <c r="AE40" i="1"/>
  <c r="AD40" i="1"/>
  <c r="AE39" i="1"/>
  <c r="AD39" i="1"/>
  <c r="AE38" i="1"/>
  <c r="AD38" i="1"/>
  <c r="AE37" i="1"/>
  <c r="AD37" i="1"/>
  <c r="AE36" i="1"/>
  <c r="AD36" i="1"/>
  <c r="AE35" i="1"/>
  <c r="AD35" i="1"/>
  <c r="AE34" i="1"/>
  <c r="AD34" i="1"/>
  <c r="AE33" i="1"/>
  <c r="AD33" i="1"/>
  <c r="AE32" i="1"/>
  <c r="AD32" i="1"/>
  <c r="AE31" i="1"/>
  <c r="AD31" i="1"/>
  <c r="AE30" i="1"/>
  <c r="AD30" i="1"/>
  <c r="AE29" i="1"/>
  <c r="AD29" i="1"/>
  <c r="AE28" i="1"/>
  <c r="AD28" i="1"/>
  <c r="AE27" i="1"/>
  <c r="AD27" i="1"/>
  <c r="AE26" i="1"/>
  <c r="AD26" i="1"/>
  <c r="AE25" i="1"/>
  <c r="AD25" i="1"/>
  <c r="AE24" i="1"/>
  <c r="AD24" i="1"/>
  <c r="AE23" i="1"/>
  <c r="AD23" i="1"/>
  <c r="AE22" i="1"/>
  <c r="AD22" i="1"/>
  <c r="AE21" i="1"/>
  <c r="AD21" i="1"/>
  <c r="AE20" i="1"/>
  <c r="AD20" i="1"/>
  <c r="AE19" i="1"/>
  <c r="AD19" i="1"/>
  <c r="AE18" i="1"/>
  <c r="AD18" i="1"/>
  <c r="AE17" i="1"/>
  <c r="AD17" i="1"/>
  <c r="AE16" i="1"/>
  <c r="AD16" i="1"/>
  <c r="AE15" i="1"/>
  <c r="AD15" i="1"/>
  <c r="AE14" i="1"/>
  <c r="AD14" i="1"/>
  <c r="AE13" i="1"/>
  <c r="AD13" i="1"/>
  <c r="AE12" i="1"/>
  <c r="AD12" i="1"/>
  <c r="AE11" i="1"/>
  <c r="AD11" i="1"/>
  <c r="AE10" i="1"/>
  <c r="AD10" i="1"/>
  <c r="AE9" i="1"/>
  <c r="AD9" i="1"/>
  <c r="AE8" i="1"/>
  <c r="AD8" i="1"/>
  <c r="AE7" i="1"/>
  <c r="AD7" i="1"/>
  <c r="AE6" i="1"/>
  <c r="AD6" i="1"/>
  <c r="AM2" i="1"/>
  <c r="AM1" i="1"/>
  <c r="R105" i="1" l="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AL2" i="1" l="1"/>
  <c r="AL1" i="1"/>
  <c r="AI1" i="1"/>
  <c r="AU1" i="1"/>
  <c r="AV1" i="1"/>
  <c r="AF1" i="1"/>
  <c r="AG1" i="1"/>
  <c r="AH1" i="1"/>
  <c r="AJ1" i="1"/>
  <c r="AN1" i="1"/>
  <c r="AO1" i="1"/>
  <c r="AP1" i="1"/>
  <c r="AQ1" i="1"/>
  <c r="AR1" i="1"/>
  <c r="AS1" i="1"/>
  <c r="AT1" i="1"/>
  <c r="AV2" i="1"/>
  <c r="AT2" i="1"/>
  <c r="AS2" i="1"/>
  <c r="AR2" i="1"/>
  <c r="AQ2" i="1"/>
  <c r="AP2" i="1"/>
  <c r="AO2" i="1"/>
  <c r="AN2" i="1"/>
  <c r="AJ2" i="1"/>
  <c r="AI2" i="1"/>
  <c r="AH2" i="1"/>
  <c r="AG2" i="1"/>
  <c r="AF2" i="1"/>
  <c r="AU2" i="1"/>
  <c r="AC11" i="1" l="1"/>
  <c r="AC12" i="1"/>
  <c r="AC19" i="1"/>
  <c r="AC49" i="1"/>
  <c r="AC13" i="1"/>
  <c r="AC17" i="1"/>
  <c r="AC20" i="1"/>
  <c r="AK1" i="1"/>
  <c r="AK2" i="1"/>
  <c r="AC6" i="1"/>
  <c r="AC8" i="1"/>
  <c r="AC101" i="1" l="1"/>
  <c r="AC59" i="1"/>
  <c r="AC45" i="1"/>
  <c r="AC72" i="1"/>
  <c r="AC42" i="1"/>
  <c r="AC27" i="1"/>
  <c r="AC51" i="1"/>
  <c r="AC100" i="1"/>
  <c r="AC35" i="1"/>
  <c r="AC39" i="1"/>
  <c r="AC97" i="1"/>
  <c r="AC31" i="1"/>
  <c r="AC81" i="1"/>
  <c r="AC50" i="1"/>
  <c r="AC21" i="1"/>
  <c r="AC15" i="1"/>
  <c r="AC53" i="1"/>
  <c r="AC95" i="1"/>
  <c r="AC55" i="1"/>
  <c r="AC93" i="1"/>
  <c r="AC87" i="1"/>
  <c r="AC82" i="1"/>
  <c r="AC104" i="1"/>
  <c r="AC61" i="1"/>
  <c r="AC105" i="1"/>
  <c r="AC63" i="1"/>
  <c r="AC90" i="1"/>
  <c r="AC24" i="1"/>
  <c r="AC7" i="1"/>
  <c r="AC88" i="1"/>
  <c r="AC22" i="1"/>
  <c r="AC58" i="1"/>
  <c r="AC33" i="1"/>
  <c r="AC99" i="1"/>
  <c r="AC48" i="1"/>
  <c r="AC18" i="1"/>
  <c r="AC67" i="1"/>
  <c r="AC62" i="1"/>
  <c r="AC66" i="1"/>
  <c r="AC65" i="1"/>
  <c r="AC29" i="1"/>
  <c r="AC92" i="1"/>
  <c r="AC83" i="1"/>
  <c r="AC43" i="1"/>
  <c r="AC96" i="1"/>
  <c r="AC84" i="1"/>
  <c r="AC57" i="1"/>
  <c r="AC94" i="1"/>
  <c r="AC89" i="1"/>
  <c r="AC34" i="1"/>
  <c r="AC74" i="1"/>
  <c r="AC54" i="1"/>
  <c r="AC85" i="1"/>
  <c r="AC76" i="1"/>
  <c r="AC37" i="1"/>
  <c r="AC80" i="1"/>
  <c r="AC25" i="1"/>
  <c r="AC60" i="1"/>
  <c r="AC98" i="1"/>
  <c r="AC69" i="1"/>
  <c r="AC75" i="1"/>
  <c r="AC23" i="1"/>
  <c r="AC68" i="1"/>
  <c r="AC56" i="1"/>
  <c r="AC14" i="1"/>
  <c r="AC91" i="1"/>
  <c r="AC103" i="1"/>
  <c r="AC64" i="1"/>
  <c r="AC77" i="1"/>
  <c r="AC41" i="1"/>
  <c r="AC28" i="1"/>
  <c r="AC73" i="1"/>
  <c r="AC71" i="1"/>
  <c r="AC26" i="1"/>
  <c r="AC46" i="1"/>
  <c r="AC30" i="1"/>
  <c r="AC10" i="1"/>
  <c r="AC86" i="1"/>
  <c r="AC102" i="1"/>
  <c r="AC79" i="1"/>
  <c r="AC36" i="1"/>
  <c r="AC32" i="1"/>
  <c r="AC40" i="1"/>
  <c r="AC9" i="1"/>
  <c r="AC78" i="1"/>
  <c r="AC47" i="1"/>
  <c r="AC38" i="1"/>
  <c r="AC70" i="1"/>
  <c r="AC52" i="1"/>
  <c r="AC44" i="1"/>
  <c r="AA17" i="1"/>
  <c r="AA91" i="1"/>
  <c r="AA37" i="1"/>
  <c r="AA38" i="1"/>
  <c r="AA104" i="1"/>
  <c r="AA52" i="1"/>
  <c r="AA55" i="1"/>
  <c r="AA88" i="1"/>
  <c r="AA82" i="1"/>
  <c r="AA68" i="1"/>
  <c r="AA14" i="1"/>
  <c r="AA32" i="1"/>
  <c r="AA85" i="1"/>
  <c r="AA50" i="1"/>
  <c r="AA39" i="1"/>
  <c r="AA99" i="1"/>
  <c r="AA43" i="1"/>
  <c r="AA29" i="1"/>
  <c r="AA19" i="1"/>
  <c r="AA28" i="1"/>
  <c r="AA86" i="1"/>
  <c r="AA21" i="1"/>
  <c r="AA16" i="1"/>
  <c r="AA67" i="1"/>
  <c r="AA78" i="1"/>
  <c r="AA79" i="1"/>
  <c r="AA12" i="1"/>
  <c r="AA101" i="1"/>
  <c r="AA6" i="1"/>
  <c r="AA92" i="1"/>
  <c r="AA9" i="1"/>
  <c r="AA100" i="1"/>
  <c r="AA15" i="1"/>
  <c r="AA66" i="1"/>
  <c r="AA62" i="1"/>
  <c r="AA71" i="1"/>
  <c r="AA61" i="1"/>
  <c r="AA60" i="1"/>
  <c r="AA63" i="1"/>
  <c r="AA95" i="1"/>
  <c r="AA97" i="1"/>
  <c r="AA41" i="1"/>
  <c r="AA46" i="1"/>
  <c r="AA33" i="1"/>
  <c r="AA69" i="1"/>
  <c r="AA87" i="1"/>
  <c r="AA23" i="1"/>
  <c r="AA27" i="1"/>
  <c r="AA80" i="1"/>
  <c r="AA20" i="1"/>
  <c r="AA10" i="1"/>
  <c r="AA54" i="1"/>
  <c r="AA89" i="1"/>
  <c r="AA49" i="1"/>
  <c r="AA40" i="1"/>
  <c r="AA70" i="1"/>
  <c r="AA45" i="1"/>
  <c r="AA48" i="1"/>
  <c r="AA18" i="1"/>
  <c r="AA59" i="1"/>
  <c r="AA74" i="1"/>
  <c r="AA83" i="1"/>
  <c r="AA98" i="1"/>
  <c r="AA7" i="1"/>
  <c r="AA51" i="1"/>
  <c r="AA72" i="1"/>
  <c r="AA94" i="1"/>
  <c r="AA77" i="1"/>
  <c r="AA8" i="1"/>
  <c r="AA42" i="1"/>
  <c r="AA47" i="1"/>
  <c r="AA102" i="1"/>
  <c r="AA36" i="1"/>
  <c r="AA90" i="1"/>
  <c r="AA53" i="1"/>
  <c r="AA84" i="1"/>
  <c r="AA93" i="1"/>
  <c r="AA56" i="1"/>
  <c r="AA57" i="1"/>
  <c r="AA31" i="1"/>
  <c r="AA11" i="1"/>
  <c r="AA35" i="1"/>
  <c r="AA73" i="1"/>
  <c r="AA26" i="1"/>
  <c r="AA103" i="1"/>
  <c r="AA22" i="1"/>
  <c r="AA65" i="1"/>
  <c r="AA44" i="1"/>
  <c r="AA76" i="1"/>
  <c r="AA105" i="1"/>
  <c r="AA58" i="1"/>
  <c r="AA30" i="1"/>
  <c r="AA64" i="1"/>
  <c r="AA96" i="1"/>
  <c r="AA34" i="1"/>
  <c r="AA13" i="1"/>
  <c r="AA24" i="1"/>
  <c r="AA75" i="1"/>
  <c r="AA81" i="1"/>
  <c r="AA25" i="1"/>
  <c r="AZ95" i="1"/>
  <c r="I95" i="1" s="1"/>
  <c r="AY95" i="1"/>
  <c r="H95" i="1" s="1"/>
  <c r="AX95" i="1"/>
  <c r="G95" i="1" s="1"/>
  <c r="AW95" i="1"/>
  <c r="F95" i="1" s="1"/>
  <c r="X95" i="1"/>
  <c r="W95" i="1"/>
  <c r="V95" i="1"/>
  <c r="U95" i="1"/>
  <c r="T95" i="1"/>
  <c r="E95" i="1"/>
  <c r="AZ98" i="1"/>
  <c r="I98" i="1" s="1"/>
  <c r="AY98" i="1"/>
  <c r="H98" i="1" s="1"/>
  <c r="AX98" i="1"/>
  <c r="G98" i="1" s="1"/>
  <c r="AW98" i="1"/>
  <c r="F98" i="1" s="1"/>
  <c r="X98" i="1"/>
  <c r="W98" i="1"/>
  <c r="V98" i="1"/>
  <c r="U98" i="1"/>
  <c r="T98" i="1"/>
  <c r="E98" i="1"/>
  <c r="AZ94" i="1"/>
  <c r="I94" i="1" s="1"/>
  <c r="AY94" i="1"/>
  <c r="H94" i="1" s="1"/>
  <c r="AX94" i="1"/>
  <c r="G94" i="1" s="1"/>
  <c r="AW94" i="1"/>
  <c r="F94" i="1" s="1"/>
  <c r="X94" i="1"/>
  <c r="W94" i="1"/>
  <c r="V94" i="1"/>
  <c r="U94" i="1"/>
  <c r="T94" i="1"/>
  <c r="E94" i="1"/>
  <c r="AZ104" i="1"/>
  <c r="I104" i="1" s="1"/>
  <c r="AY104" i="1"/>
  <c r="H104" i="1" s="1"/>
  <c r="AX104" i="1"/>
  <c r="G104" i="1" s="1"/>
  <c r="AW104" i="1"/>
  <c r="F104" i="1" s="1"/>
  <c r="X104" i="1"/>
  <c r="W104" i="1"/>
  <c r="V104" i="1"/>
  <c r="U104" i="1"/>
  <c r="T104" i="1"/>
  <c r="E104" i="1"/>
  <c r="AZ102" i="1"/>
  <c r="I102" i="1" s="1"/>
  <c r="AY102" i="1"/>
  <c r="H102" i="1" s="1"/>
  <c r="AX102" i="1"/>
  <c r="G102" i="1" s="1"/>
  <c r="AW102" i="1"/>
  <c r="F102" i="1" s="1"/>
  <c r="X102" i="1"/>
  <c r="W102" i="1"/>
  <c r="V102" i="1"/>
  <c r="U102" i="1"/>
  <c r="T102" i="1"/>
  <c r="E102" i="1"/>
  <c r="AZ96" i="1"/>
  <c r="I96" i="1" s="1"/>
  <c r="AY96" i="1"/>
  <c r="H96" i="1" s="1"/>
  <c r="AX96" i="1"/>
  <c r="G96" i="1" s="1"/>
  <c r="AW96" i="1"/>
  <c r="F96" i="1" s="1"/>
  <c r="X96" i="1"/>
  <c r="W96" i="1"/>
  <c r="V96" i="1"/>
  <c r="U96" i="1"/>
  <c r="T96" i="1"/>
  <c r="E96" i="1"/>
  <c r="AZ101" i="1"/>
  <c r="I101" i="1" s="1"/>
  <c r="AY101" i="1"/>
  <c r="H101" i="1" s="1"/>
  <c r="AX101" i="1"/>
  <c r="G101" i="1" s="1"/>
  <c r="AW101" i="1"/>
  <c r="F101" i="1" s="1"/>
  <c r="X101" i="1"/>
  <c r="W101" i="1"/>
  <c r="V101" i="1"/>
  <c r="U101" i="1"/>
  <c r="T101" i="1"/>
  <c r="E101" i="1"/>
  <c r="AZ89" i="1"/>
  <c r="I89" i="1" s="1"/>
  <c r="AY89" i="1"/>
  <c r="H89" i="1" s="1"/>
  <c r="AX89" i="1"/>
  <c r="G89" i="1" s="1"/>
  <c r="AW89" i="1"/>
  <c r="F89" i="1" s="1"/>
  <c r="X89" i="1"/>
  <c r="W89" i="1"/>
  <c r="V89" i="1"/>
  <c r="U89" i="1"/>
  <c r="T89" i="1"/>
  <c r="E89" i="1"/>
  <c r="AZ99" i="1"/>
  <c r="I99" i="1" s="1"/>
  <c r="AY99" i="1"/>
  <c r="H99" i="1" s="1"/>
  <c r="AX99" i="1"/>
  <c r="G99" i="1" s="1"/>
  <c r="AW99" i="1"/>
  <c r="F99" i="1" s="1"/>
  <c r="X99" i="1"/>
  <c r="W99" i="1"/>
  <c r="V99" i="1"/>
  <c r="U99" i="1"/>
  <c r="T99" i="1"/>
  <c r="E99" i="1"/>
  <c r="AZ92" i="1"/>
  <c r="I92" i="1" s="1"/>
  <c r="AY92" i="1"/>
  <c r="H92" i="1" s="1"/>
  <c r="AX92" i="1"/>
  <c r="G92" i="1" s="1"/>
  <c r="AW92" i="1"/>
  <c r="F92" i="1" s="1"/>
  <c r="X92" i="1"/>
  <c r="W92" i="1"/>
  <c r="V92" i="1"/>
  <c r="U92" i="1"/>
  <c r="T92" i="1"/>
  <c r="E92" i="1"/>
  <c r="AZ81" i="1"/>
  <c r="I81" i="1" s="1"/>
  <c r="AY81" i="1"/>
  <c r="H81" i="1" s="1"/>
  <c r="AX81" i="1"/>
  <c r="G81" i="1" s="1"/>
  <c r="AW81" i="1"/>
  <c r="F81" i="1" s="1"/>
  <c r="X81" i="1"/>
  <c r="W81" i="1"/>
  <c r="V81" i="1"/>
  <c r="U81" i="1"/>
  <c r="T81" i="1"/>
  <c r="E81" i="1"/>
  <c r="AZ63" i="1"/>
  <c r="I63" i="1" s="1"/>
  <c r="AY63" i="1"/>
  <c r="H63" i="1" s="1"/>
  <c r="AX63" i="1"/>
  <c r="G63" i="1" s="1"/>
  <c r="AW63" i="1"/>
  <c r="F63" i="1" s="1"/>
  <c r="X63" i="1"/>
  <c r="W63" i="1"/>
  <c r="V63" i="1"/>
  <c r="U63" i="1"/>
  <c r="T63" i="1"/>
  <c r="E63" i="1"/>
  <c r="AZ73" i="1"/>
  <c r="I73" i="1" s="1"/>
  <c r="AY73" i="1"/>
  <c r="H73" i="1" s="1"/>
  <c r="AX73" i="1"/>
  <c r="G73" i="1" s="1"/>
  <c r="AW73" i="1"/>
  <c r="F73" i="1" s="1"/>
  <c r="X73" i="1"/>
  <c r="W73" i="1"/>
  <c r="V73" i="1"/>
  <c r="U73" i="1"/>
  <c r="T73" i="1"/>
  <c r="E73" i="1"/>
  <c r="AZ80" i="1"/>
  <c r="I80" i="1" s="1"/>
  <c r="AY80" i="1"/>
  <c r="H80" i="1" s="1"/>
  <c r="AX80" i="1"/>
  <c r="G80" i="1" s="1"/>
  <c r="AW80" i="1"/>
  <c r="F80" i="1" s="1"/>
  <c r="X80" i="1"/>
  <c r="W80" i="1"/>
  <c r="V80" i="1"/>
  <c r="U80" i="1"/>
  <c r="T80" i="1"/>
  <c r="E80" i="1"/>
  <c r="AZ103" i="1"/>
  <c r="I103" i="1" s="1"/>
  <c r="AY103" i="1"/>
  <c r="H103" i="1" s="1"/>
  <c r="AX103" i="1"/>
  <c r="G103" i="1" s="1"/>
  <c r="AW103" i="1"/>
  <c r="F103" i="1" s="1"/>
  <c r="X103" i="1"/>
  <c r="W103" i="1"/>
  <c r="V103" i="1"/>
  <c r="U103" i="1"/>
  <c r="T103" i="1"/>
  <c r="E103" i="1"/>
  <c r="AZ105" i="1"/>
  <c r="I105" i="1" s="1"/>
  <c r="AY105" i="1"/>
  <c r="H105" i="1" s="1"/>
  <c r="AX105" i="1"/>
  <c r="G105" i="1" s="1"/>
  <c r="AW105" i="1"/>
  <c r="F105" i="1" s="1"/>
  <c r="X105" i="1"/>
  <c r="W105" i="1"/>
  <c r="V105" i="1"/>
  <c r="U105" i="1"/>
  <c r="T105" i="1"/>
  <c r="E105" i="1"/>
  <c r="AZ97" i="1"/>
  <c r="I97" i="1" s="1"/>
  <c r="AY97" i="1"/>
  <c r="H97" i="1" s="1"/>
  <c r="AX97" i="1"/>
  <c r="G97" i="1" s="1"/>
  <c r="AW97" i="1"/>
  <c r="F97" i="1" s="1"/>
  <c r="X97" i="1"/>
  <c r="W97" i="1"/>
  <c r="V97" i="1"/>
  <c r="U97" i="1"/>
  <c r="T97" i="1"/>
  <c r="E97" i="1"/>
  <c r="AZ72" i="1"/>
  <c r="I72" i="1" s="1"/>
  <c r="AY72" i="1"/>
  <c r="H72" i="1" s="1"/>
  <c r="AX72" i="1"/>
  <c r="G72" i="1" s="1"/>
  <c r="AW72" i="1"/>
  <c r="F72" i="1" s="1"/>
  <c r="X72" i="1"/>
  <c r="W72" i="1"/>
  <c r="V72" i="1"/>
  <c r="U72" i="1"/>
  <c r="T72" i="1"/>
  <c r="E72" i="1"/>
  <c r="X79" i="1"/>
  <c r="W79" i="1"/>
  <c r="V79" i="1"/>
  <c r="AZ79" i="1"/>
  <c r="I79" i="1" s="1"/>
  <c r="AY79" i="1"/>
  <c r="H79" i="1" s="1"/>
  <c r="AX79" i="1"/>
  <c r="G79" i="1" s="1"/>
  <c r="AW79" i="1"/>
  <c r="F79" i="1" s="1"/>
  <c r="U79" i="1"/>
  <c r="T79" i="1"/>
  <c r="E79" i="1"/>
  <c r="AZ84" i="1"/>
  <c r="I84" i="1" s="1"/>
  <c r="AY84" i="1"/>
  <c r="H84" i="1" s="1"/>
  <c r="AX84" i="1"/>
  <c r="G84" i="1" s="1"/>
  <c r="AW84" i="1"/>
  <c r="F84" i="1" s="1"/>
  <c r="X84" i="1"/>
  <c r="W84" i="1"/>
  <c r="V84" i="1"/>
  <c r="U84" i="1"/>
  <c r="T84" i="1"/>
  <c r="E84" i="1"/>
  <c r="X70" i="1"/>
  <c r="AZ66" i="1"/>
  <c r="I66" i="1" s="1"/>
  <c r="AY66" i="1"/>
  <c r="H66" i="1" s="1"/>
  <c r="AX66" i="1"/>
  <c r="G66" i="1" s="1"/>
  <c r="AW66" i="1"/>
  <c r="F66" i="1" s="1"/>
  <c r="X66" i="1"/>
  <c r="W66" i="1"/>
  <c r="V66" i="1"/>
  <c r="U66" i="1"/>
  <c r="T66" i="1"/>
  <c r="E66" i="1"/>
  <c r="AB103" i="1" l="1"/>
  <c r="AB87" i="1"/>
  <c r="AB21" i="1"/>
  <c r="AB93" i="1"/>
  <c r="AB98" i="1"/>
  <c r="AB82" i="1"/>
  <c r="AB11" i="1"/>
  <c r="AB105" i="1"/>
  <c r="AB95" i="1"/>
  <c r="AB83" i="1"/>
  <c r="AB94" i="1"/>
  <c r="AB99" i="1"/>
  <c r="AB10" i="1"/>
  <c r="AB38" i="1"/>
  <c r="AB52" i="1"/>
  <c r="AB35" i="1"/>
  <c r="AB60" i="1"/>
  <c r="AB65" i="1"/>
  <c r="AB92" i="1"/>
  <c r="AB101" i="1"/>
  <c r="AB104" i="1"/>
  <c r="AB71" i="1"/>
  <c r="AB89" i="1"/>
  <c r="AB85" i="1"/>
  <c r="AB49" i="1"/>
  <c r="AB32" i="1"/>
  <c r="AB22" i="1"/>
  <c r="AB54" i="1"/>
  <c r="AB76" i="1"/>
  <c r="AB33" i="1"/>
  <c r="AB14" i="1"/>
  <c r="AB88" i="1"/>
  <c r="AB97" i="1"/>
  <c r="AB59" i="1"/>
  <c r="AB53" i="1"/>
  <c r="AB12" i="1"/>
  <c r="AB91" i="1"/>
  <c r="AB8" i="1"/>
  <c r="AB46" i="1"/>
  <c r="AB58" i="1"/>
  <c r="AB56" i="1"/>
  <c r="AB6" i="1"/>
  <c r="AB86" i="1"/>
  <c r="AB81" i="1"/>
  <c r="AB31" i="1"/>
  <c r="AB36" i="1"/>
  <c r="AB24" i="1"/>
  <c r="AB9" i="1"/>
  <c r="AB78" i="1"/>
  <c r="AB34" i="1"/>
  <c r="AB29" i="1"/>
  <c r="AB45" i="1"/>
  <c r="AB69" i="1"/>
  <c r="AB41" i="1"/>
  <c r="AB68" i="1"/>
  <c r="AB51" i="1"/>
  <c r="AB62" i="1"/>
  <c r="AB18" i="1"/>
  <c r="AB75" i="1"/>
  <c r="AB84" i="1"/>
  <c r="AB63" i="1"/>
  <c r="AB61" i="1"/>
  <c r="AB17" i="1"/>
  <c r="AB73" i="1"/>
  <c r="AB16" i="1"/>
  <c r="AB100" i="1"/>
  <c r="AB25" i="1"/>
  <c r="AB70" i="1"/>
  <c r="AB96" i="1"/>
  <c r="AB102" i="1"/>
  <c r="AB74" i="1"/>
  <c r="AC16" i="1"/>
  <c r="AB27" i="1"/>
  <c r="AB20" i="1"/>
  <c r="AB23" i="1"/>
  <c r="AB50" i="1"/>
  <c r="AB79" i="1"/>
  <c r="AB39" i="1"/>
  <c r="AB55" i="1"/>
  <c r="AB47" i="1"/>
  <c r="AB7" i="1"/>
  <c r="AB57" i="1"/>
  <c r="AB15" i="1"/>
  <c r="AB28" i="1"/>
  <c r="AB19" i="1"/>
  <c r="AB26" i="1"/>
  <c r="AB48" i="1"/>
  <c r="AB80" i="1"/>
  <c r="AB40" i="1"/>
  <c r="AB44" i="1"/>
  <c r="AB13" i="1"/>
  <c r="AB67" i="1"/>
  <c r="AB66" i="1"/>
  <c r="AB43" i="1"/>
  <c r="AB90" i="1"/>
  <c r="AB30" i="1"/>
  <c r="AB64" i="1"/>
  <c r="AB37" i="1"/>
  <c r="AB72" i="1"/>
  <c r="AB77" i="1"/>
  <c r="AB42" i="1"/>
  <c r="J89" i="1"/>
  <c r="K101" i="1"/>
  <c r="J104" i="1"/>
  <c r="K94" i="1"/>
  <c r="J95" i="1"/>
  <c r="K98" i="1"/>
  <c r="K104" i="1"/>
  <c r="K102" i="1"/>
  <c r="J96" i="1"/>
  <c r="K89" i="1"/>
  <c r="K96" i="1"/>
  <c r="J94" i="1"/>
  <c r="J101" i="1"/>
  <c r="J102" i="1"/>
  <c r="K95" i="1"/>
  <c r="J98" i="1"/>
  <c r="J72" i="1"/>
  <c r="J80" i="1"/>
  <c r="J99" i="1"/>
  <c r="K105" i="1"/>
  <c r="K99" i="1"/>
  <c r="K80" i="1"/>
  <c r="K72" i="1"/>
  <c r="J105" i="1"/>
  <c r="J73" i="1"/>
  <c r="K73" i="1"/>
  <c r="K92" i="1"/>
  <c r="J92" i="1"/>
  <c r="K103" i="1"/>
  <c r="J103" i="1"/>
  <c r="K81" i="1"/>
  <c r="J81" i="1"/>
  <c r="J97" i="1"/>
  <c r="K97" i="1"/>
  <c r="K63" i="1"/>
  <c r="J63" i="1"/>
  <c r="J79" i="1"/>
  <c r="K79" i="1"/>
  <c r="K84" i="1"/>
  <c r="J84" i="1"/>
  <c r="K66" i="1"/>
  <c r="J66" i="1"/>
  <c r="AZ83" i="1"/>
  <c r="I83" i="1" s="1"/>
  <c r="AY83" i="1"/>
  <c r="H83" i="1" s="1"/>
  <c r="AX83" i="1"/>
  <c r="G83" i="1" s="1"/>
  <c r="AW83" i="1"/>
  <c r="F83" i="1" s="1"/>
  <c r="X83" i="1"/>
  <c r="W83" i="1"/>
  <c r="V83" i="1"/>
  <c r="U83" i="1"/>
  <c r="T83" i="1"/>
  <c r="E83" i="1"/>
  <c r="AZ76" i="1"/>
  <c r="I76" i="1" s="1"/>
  <c r="AY76" i="1"/>
  <c r="H76" i="1" s="1"/>
  <c r="AX76" i="1"/>
  <c r="G76" i="1" s="1"/>
  <c r="AW76" i="1"/>
  <c r="F76" i="1" s="1"/>
  <c r="X76" i="1"/>
  <c r="W76" i="1"/>
  <c r="V76" i="1"/>
  <c r="U76" i="1"/>
  <c r="T76" i="1"/>
  <c r="E76" i="1"/>
  <c r="AZ51" i="1"/>
  <c r="I51" i="1" s="1"/>
  <c r="AY51" i="1"/>
  <c r="H51" i="1" s="1"/>
  <c r="AX51" i="1"/>
  <c r="G51" i="1" s="1"/>
  <c r="AW51" i="1"/>
  <c r="F51" i="1" s="1"/>
  <c r="X51" i="1"/>
  <c r="W51" i="1"/>
  <c r="V51" i="1"/>
  <c r="U51" i="1"/>
  <c r="T51" i="1"/>
  <c r="E51" i="1"/>
  <c r="AZ54" i="1"/>
  <c r="I54" i="1" s="1"/>
  <c r="AY54" i="1"/>
  <c r="H54" i="1" s="1"/>
  <c r="AX54" i="1"/>
  <c r="G54" i="1" s="1"/>
  <c r="AW54" i="1"/>
  <c r="F54" i="1" s="1"/>
  <c r="X54" i="1"/>
  <c r="W54" i="1"/>
  <c r="V54" i="1"/>
  <c r="U54" i="1"/>
  <c r="T54" i="1"/>
  <c r="E54" i="1"/>
  <c r="AW6" i="1"/>
  <c r="AW7" i="1"/>
  <c r="AW8" i="1"/>
  <c r="AW16" i="1"/>
  <c r="AW12" i="1"/>
  <c r="AW13" i="1"/>
  <c r="AW9" i="1"/>
  <c r="AW15" i="1"/>
  <c r="AW69" i="1"/>
  <c r="AW55" i="1"/>
  <c r="AW58" i="1"/>
  <c r="AW11" i="1"/>
  <c r="AW22" i="1"/>
  <c r="AW45" i="1"/>
  <c r="AW100" i="1"/>
  <c r="AW35" i="1"/>
  <c r="AW25" i="1"/>
  <c r="AW91" i="1"/>
  <c r="AW18" i="1"/>
  <c r="AW75" i="1"/>
  <c r="AW30" i="1"/>
  <c r="AW52" i="1"/>
  <c r="AW82" i="1"/>
  <c r="AW28" i="1"/>
  <c r="AW87" i="1"/>
  <c r="AW57" i="1"/>
  <c r="AW78" i="1"/>
  <c r="AW59" i="1"/>
  <c r="AW86" i="1"/>
  <c r="AW49" i="1"/>
  <c r="AW41" i="1"/>
  <c r="AW21" i="1"/>
  <c r="AW17" i="1"/>
  <c r="AW27" i="1"/>
  <c r="AW90" i="1"/>
  <c r="AW93" i="1"/>
  <c r="AW39" i="1"/>
  <c r="AW42" i="1"/>
  <c r="AW61" i="1"/>
  <c r="AW10" i="1"/>
  <c r="AW65" i="1"/>
  <c r="AW38" i="1"/>
  <c r="AW85" i="1"/>
  <c r="AW29" i="1"/>
  <c r="AW48" i="1"/>
  <c r="AW43" i="1"/>
  <c r="AW31" i="1"/>
  <c r="AW33" i="1"/>
  <c r="AW50" i="1"/>
  <c r="AW70" i="1"/>
  <c r="AW68" i="1"/>
  <c r="AW71" i="1"/>
  <c r="AW34" i="1"/>
  <c r="AW40" i="1"/>
  <c r="AW20" i="1"/>
  <c r="AW60" i="1"/>
  <c r="AW53" i="1"/>
  <c r="AW46" i="1"/>
  <c r="AW67" i="1"/>
  <c r="AW36" i="1"/>
  <c r="AW44" i="1"/>
  <c r="AW62" i="1"/>
  <c r="AW37" i="1"/>
  <c r="AW56" i="1"/>
  <c r="AW47" i="1"/>
  <c r="AW77" i="1"/>
  <c r="AW32" i="1"/>
  <c r="AW74" i="1"/>
  <c r="AW14" i="1"/>
  <c r="AW64" i="1"/>
  <c r="AW23" i="1"/>
  <c r="AW88" i="1"/>
  <c r="AW24" i="1"/>
  <c r="AW19" i="1"/>
  <c r="AW26" i="1"/>
  <c r="Z54" i="1" l="1"/>
  <c r="Z30" i="1"/>
  <c r="Z52" i="1"/>
  <c r="Z65" i="1"/>
  <c r="Z53" i="1"/>
  <c r="Z66" i="1"/>
  <c r="Z63" i="1"/>
  <c r="Z50" i="1"/>
  <c r="Z27" i="1"/>
  <c r="Z69" i="1"/>
  <c r="Z16" i="1"/>
  <c r="Z20" i="1"/>
  <c r="Z51" i="1"/>
  <c r="Z101" i="1"/>
  <c r="Z15" i="1"/>
  <c r="Z92" i="1"/>
  <c r="Z81" i="1"/>
  <c r="Z22" i="1"/>
  <c r="Z46" i="1"/>
  <c r="Z84" i="1"/>
  <c r="Z97" i="1"/>
  <c r="Z93" i="1"/>
  <c r="Z13" i="1"/>
  <c r="Z79" i="1"/>
  <c r="Z70" i="1"/>
  <c r="Z72" i="1"/>
  <c r="Z26" i="1"/>
  <c r="Z95" i="1"/>
  <c r="Z41" i="1"/>
  <c r="Z49" i="1"/>
  <c r="Z24" i="1"/>
  <c r="Z80" i="1"/>
  <c r="Z11" i="1"/>
  <c r="Z86" i="1"/>
  <c r="Z29" i="1"/>
  <c r="Z78" i="1"/>
  <c r="Z68" i="1"/>
  <c r="Z89" i="1"/>
  <c r="Z25" i="1"/>
  <c r="Z83" i="1"/>
  <c r="Z90" i="1"/>
  <c r="Z45" i="1"/>
  <c r="Z71" i="1"/>
  <c r="Z38" i="1"/>
  <c r="Z14" i="1"/>
  <c r="Z37" i="1"/>
  <c r="Z67" i="1"/>
  <c r="Z18" i="1"/>
  <c r="Z59" i="1"/>
  <c r="Z74" i="1"/>
  <c r="Z105" i="1"/>
  <c r="Z100" i="1"/>
  <c r="Z6" i="1"/>
  <c r="Z87" i="1"/>
  <c r="Z57" i="1"/>
  <c r="Z34" i="1"/>
  <c r="Z48" i="1"/>
  <c r="Z28" i="1"/>
  <c r="Z40" i="1"/>
  <c r="Z35" i="1"/>
  <c r="Z12" i="1"/>
  <c r="Z31" i="1"/>
  <c r="Z9" i="1"/>
  <c r="Z23" i="1"/>
  <c r="Z43" i="1"/>
  <c r="Z75" i="1"/>
  <c r="Z73" i="1"/>
  <c r="Z76" i="1"/>
  <c r="Z96" i="1"/>
  <c r="Z39" i="1"/>
  <c r="Z47" i="1"/>
  <c r="Z82" i="1"/>
  <c r="Z32" i="1"/>
  <c r="Z17" i="1"/>
  <c r="Z21" i="1"/>
  <c r="Z36" i="1"/>
  <c r="Z103" i="1"/>
  <c r="Z64" i="1"/>
  <c r="Z58" i="1"/>
  <c r="Z55" i="1"/>
  <c r="Z60" i="1"/>
  <c r="Z19" i="1"/>
  <c r="Z94" i="1"/>
  <c r="Z104" i="1"/>
  <c r="Z85" i="1"/>
  <c r="Z91" i="1"/>
  <c r="Z102" i="1"/>
  <c r="Z61" i="1"/>
  <c r="Z33" i="1"/>
  <c r="Z56" i="1"/>
  <c r="Z98" i="1"/>
  <c r="Z42" i="1"/>
  <c r="Z77" i="1"/>
  <c r="Z8" i="1"/>
  <c r="Z88" i="1"/>
  <c r="Z99" i="1"/>
  <c r="Z10" i="1"/>
  <c r="Z62" i="1"/>
  <c r="Z44" i="1"/>
  <c r="J83" i="1"/>
  <c r="K83" i="1"/>
  <c r="J76" i="1"/>
  <c r="K76" i="1"/>
  <c r="K51" i="1"/>
  <c r="J51" i="1"/>
  <c r="J54" i="1"/>
  <c r="K54" i="1"/>
  <c r="Z7" i="1"/>
  <c r="AZ6" i="1" l="1"/>
  <c r="I6" i="1" s="1"/>
  <c r="AY6" i="1"/>
  <c r="H6" i="1" s="1"/>
  <c r="AX6" i="1"/>
  <c r="G6" i="1" s="1"/>
  <c r="F6" i="1"/>
  <c r="X6" i="1"/>
  <c r="W6" i="1"/>
  <c r="V6" i="1"/>
  <c r="U6" i="1"/>
  <c r="T6" i="1"/>
  <c r="E6" i="1"/>
  <c r="AZ75" i="1"/>
  <c r="I75" i="1" s="1"/>
  <c r="AY75" i="1"/>
  <c r="H75" i="1" s="1"/>
  <c r="AX75" i="1"/>
  <c r="G75" i="1" s="1"/>
  <c r="F75" i="1"/>
  <c r="X75" i="1"/>
  <c r="W75" i="1"/>
  <c r="V75" i="1"/>
  <c r="U75" i="1"/>
  <c r="T75" i="1"/>
  <c r="E75" i="1"/>
  <c r="AZ37" i="1"/>
  <c r="I37" i="1" s="1"/>
  <c r="AY37" i="1"/>
  <c r="H37" i="1" s="1"/>
  <c r="AX37" i="1"/>
  <c r="G37" i="1" s="1"/>
  <c r="F37" i="1"/>
  <c r="X37" i="1"/>
  <c r="W37" i="1"/>
  <c r="U37" i="1"/>
  <c r="T37" i="1"/>
  <c r="E37" i="1"/>
  <c r="AZ68" i="1"/>
  <c r="I68" i="1" s="1"/>
  <c r="AY68" i="1"/>
  <c r="H68" i="1" s="1"/>
  <c r="AX68" i="1"/>
  <c r="G68" i="1" s="1"/>
  <c r="F68" i="1"/>
  <c r="X68" i="1"/>
  <c r="W68" i="1"/>
  <c r="V68" i="1"/>
  <c r="U68" i="1"/>
  <c r="T68" i="1"/>
  <c r="E68" i="1"/>
  <c r="AZ17" i="1"/>
  <c r="I17" i="1" s="1"/>
  <c r="AY17" i="1"/>
  <c r="H17" i="1" s="1"/>
  <c r="AX17" i="1"/>
  <c r="G17" i="1" s="1"/>
  <c r="F17" i="1"/>
  <c r="X17" i="1"/>
  <c r="W17" i="1"/>
  <c r="V17" i="1"/>
  <c r="U17" i="1"/>
  <c r="T17" i="1"/>
  <c r="E17" i="1"/>
  <c r="W15" i="1"/>
  <c r="V15" i="1"/>
  <c r="X41" i="1"/>
  <c r="W41" i="1"/>
  <c r="X8" i="1"/>
  <c r="W8" i="1"/>
  <c r="V8" i="1"/>
  <c r="X12" i="1"/>
  <c r="W12" i="1"/>
  <c r="V12" i="1"/>
  <c r="X59" i="1"/>
  <c r="W59" i="1"/>
  <c r="V59" i="1"/>
  <c r="X50" i="1"/>
  <c r="X88" i="1"/>
  <c r="W88" i="1"/>
  <c r="V88" i="1"/>
  <c r="X29" i="1"/>
  <c r="W29" i="1"/>
  <c r="V29" i="1"/>
  <c r="X13" i="1"/>
  <c r="W13" i="1"/>
  <c r="V13" i="1"/>
  <c r="X93" i="1"/>
  <c r="W93" i="1"/>
  <c r="V93" i="1"/>
  <c r="X7" i="1"/>
  <c r="W7" i="1"/>
  <c r="X10" i="1"/>
  <c r="W10" i="1"/>
  <c r="V10" i="1"/>
  <c r="X100" i="1"/>
  <c r="W100" i="1"/>
  <c r="V100" i="1"/>
  <c r="X90" i="1"/>
  <c r="W90" i="1"/>
  <c r="V90" i="1"/>
  <c r="X87" i="1"/>
  <c r="W87" i="1"/>
  <c r="V87" i="1"/>
  <c r="W74" i="1"/>
  <c r="X33" i="1"/>
  <c r="W33" i="1"/>
  <c r="V33" i="1"/>
  <c r="X91" i="1"/>
  <c r="W91" i="1"/>
  <c r="V91" i="1"/>
  <c r="X61" i="1"/>
  <c r="W61" i="1"/>
  <c r="V61" i="1"/>
  <c r="X58" i="1"/>
  <c r="W58" i="1"/>
  <c r="V58" i="1"/>
  <c r="X24" i="1"/>
  <c r="W24" i="1"/>
  <c r="X42" i="1"/>
  <c r="W42" i="1"/>
  <c r="V42" i="1"/>
  <c r="X35" i="1"/>
  <c r="W35" i="1"/>
  <c r="V35" i="1"/>
  <c r="X32" i="1"/>
  <c r="W32" i="1"/>
  <c r="V32" i="1"/>
  <c r="X26" i="1"/>
  <c r="W26" i="1"/>
  <c r="X86" i="1"/>
  <c r="W86" i="1"/>
  <c r="V86" i="1"/>
  <c r="X23" i="1"/>
  <c r="W23" i="1"/>
  <c r="V23" i="1"/>
  <c r="X69" i="1"/>
  <c r="W69" i="1"/>
  <c r="V69" i="1"/>
  <c r="X60" i="1"/>
  <c r="W60" i="1"/>
  <c r="V60" i="1"/>
  <c r="W70" i="1"/>
  <c r="V70" i="1"/>
  <c r="X78" i="1"/>
  <c r="W78" i="1"/>
  <c r="V78" i="1"/>
  <c r="X85" i="1"/>
  <c r="W85" i="1"/>
  <c r="V85" i="1"/>
  <c r="X53" i="1"/>
  <c r="W53" i="1"/>
  <c r="V53" i="1"/>
  <c r="X34" i="1"/>
  <c r="W34" i="1"/>
  <c r="V34" i="1"/>
  <c r="X22" i="1"/>
  <c r="W22" i="1"/>
  <c r="V22" i="1"/>
  <c r="X31" i="1"/>
  <c r="W31" i="1"/>
  <c r="V31" i="1"/>
  <c r="X16" i="1"/>
  <c r="W16" i="1"/>
  <c r="X52" i="1"/>
  <c r="W52" i="1"/>
  <c r="V52" i="1"/>
  <c r="X45" i="1"/>
  <c r="W45" i="1"/>
  <c r="V45" i="1"/>
  <c r="X38" i="1"/>
  <c r="W38" i="1"/>
  <c r="X55" i="1"/>
  <c r="W55" i="1"/>
  <c r="V55" i="1"/>
  <c r="X11" i="1"/>
  <c r="W11" i="1"/>
  <c r="V11" i="1"/>
  <c r="X21" i="1"/>
  <c r="W21" i="1"/>
  <c r="V21" i="1"/>
  <c r="X44" i="1"/>
  <c r="W44" i="1"/>
  <c r="V44" i="1"/>
  <c r="X49" i="1"/>
  <c r="W49" i="1"/>
  <c r="V49" i="1"/>
  <c r="X30" i="1"/>
  <c r="W30" i="1"/>
  <c r="V30" i="1"/>
  <c r="X9" i="1"/>
  <c r="W9" i="1"/>
  <c r="X27" i="1"/>
  <c r="W27" i="1"/>
  <c r="X43" i="1"/>
  <c r="W43" i="1"/>
  <c r="V43" i="1"/>
  <c r="X77" i="1"/>
  <c r="W77" i="1"/>
  <c r="V77" i="1"/>
  <c r="X18" i="1"/>
  <c r="W18" i="1"/>
  <c r="V18" i="1"/>
  <c r="X57" i="1"/>
  <c r="W57" i="1"/>
  <c r="V57" i="1"/>
  <c r="X40" i="1"/>
  <c r="W40" i="1"/>
  <c r="X48" i="1"/>
  <c r="W48" i="1"/>
  <c r="V48" i="1"/>
  <c r="X47" i="1"/>
  <c r="W47" i="1"/>
  <c r="V47" i="1"/>
  <c r="X14" i="1"/>
  <c r="W14" i="1"/>
  <c r="V14" i="1"/>
  <c r="X64" i="1"/>
  <c r="W64" i="1"/>
  <c r="V64" i="1"/>
  <c r="X39" i="1"/>
  <c r="W39" i="1"/>
  <c r="X36" i="1"/>
  <c r="W36" i="1"/>
  <c r="V36" i="1"/>
  <c r="X82" i="1"/>
  <c r="W82" i="1"/>
  <c r="X67" i="1"/>
  <c r="W67" i="1"/>
  <c r="V67" i="1"/>
  <c r="X71" i="1"/>
  <c r="W71" i="1"/>
  <c r="V71" i="1"/>
  <c r="X62" i="1"/>
  <c r="W62" i="1"/>
  <c r="V62" i="1"/>
  <c r="X25" i="1"/>
  <c r="W25" i="1"/>
  <c r="V25" i="1"/>
  <c r="X19" i="1"/>
  <c r="W19" i="1"/>
  <c r="V19" i="1"/>
  <c r="X20" i="1"/>
  <c r="K6" i="1" l="1"/>
  <c r="K37" i="1"/>
  <c r="K68" i="1"/>
  <c r="K17" i="1"/>
  <c r="J6" i="1"/>
  <c r="J37" i="1"/>
  <c r="J68" i="1"/>
  <c r="J17" i="1"/>
  <c r="K75" i="1"/>
  <c r="J75" i="1"/>
  <c r="AZ20" i="1" l="1"/>
  <c r="AZ19" i="1"/>
  <c r="AZ25" i="1"/>
  <c r="AZ65" i="1"/>
  <c r="AZ56" i="1"/>
  <c r="AZ62" i="1"/>
  <c r="AZ71" i="1"/>
  <c r="AZ82" i="1"/>
  <c r="AZ67" i="1"/>
  <c r="AZ46" i="1"/>
  <c r="AZ64" i="1"/>
  <c r="AZ39" i="1"/>
  <c r="AZ36" i="1"/>
  <c r="W20" i="1" l="1"/>
  <c r="AZ41" i="1" l="1"/>
  <c r="I41" i="1" s="1"/>
  <c r="AY41" i="1"/>
  <c r="H41" i="1" s="1"/>
  <c r="AX41" i="1"/>
  <c r="G41" i="1" s="1"/>
  <c r="F41" i="1"/>
  <c r="E41" i="1"/>
  <c r="U41" i="1"/>
  <c r="T41" i="1"/>
  <c r="AZ59" i="1"/>
  <c r="I59" i="1" s="1"/>
  <c r="AY59" i="1"/>
  <c r="H59" i="1" s="1"/>
  <c r="AX59" i="1"/>
  <c r="G59" i="1" s="1"/>
  <c r="F59" i="1"/>
  <c r="E59" i="1"/>
  <c r="U59" i="1"/>
  <c r="T59" i="1"/>
  <c r="AZ61" i="1"/>
  <c r="I61" i="1" s="1"/>
  <c r="AY61" i="1"/>
  <c r="H61" i="1" s="1"/>
  <c r="AX61" i="1"/>
  <c r="G61" i="1" s="1"/>
  <c r="F61" i="1"/>
  <c r="E61" i="1"/>
  <c r="U61" i="1"/>
  <c r="T61" i="1"/>
  <c r="AZ93" i="1"/>
  <c r="I93" i="1" s="1"/>
  <c r="AY93" i="1"/>
  <c r="H93" i="1" s="1"/>
  <c r="AX93" i="1"/>
  <c r="G93" i="1" s="1"/>
  <c r="F93" i="1"/>
  <c r="E93" i="1"/>
  <c r="U93" i="1"/>
  <c r="T93" i="1"/>
  <c r="AZ58" i="1"/>
  <c r="I58" i="1" s="1"/>
  <c r="AY58" i="1"/>
  <c r="H58" i="1" s="1"/>
  <c r="AX58" i="1"/>
  <c r="G58" i="1" s="1"/>
  <c r="F58" i="1"/>
  <c r="E58" i="1"/>
  <c r="U58" i="1"/>
  <c r="T58" i="1"/>
  <c r="AZ32" i="1"/>
  <c r="I32" i="1" s="1"/>
  <c r="AY32" i="1"/>
  <c r="H32" i="1" s="1"/>
  <c r="AX32" i="1"/>
  <c r="G32" i="1" s="1"/>
  <c r="F32" i="1"/>
  <c r="E32" i="1"/>
  <c r="U32" i="1"/>
  <c r="T32" i="1"/>
  <c r="AZ91" i="1"/>
  <c r="I91" i="1" s="1"/>
  <c r="AY91" i="1"/>
  <c r="H91" i="1" s="1"/>
  <c r="AX91" i="1"/>
  <c r="G91" i="1" s="1"/>
  <c r="F91" i="1"/>
  <c r="E91" i="1"/>
  <c r="U91" i="1"/>
  <c r="T91" i="1"/>
  <c r="AZ85" i="1"/>
  <c r="I85" i="1" s="1"/>
  <c r="AY85" i="1"/>
  <c r="H85" i="1" s="1"/>
  <c r="AX85" i="1"/>
  <c r="G85" i="1" s="1"/>
  <c r="F85" i="1"/>
  <c r="E85" i="1"/>
  <c r="U85" i="1"/>
  <c r="T85" i="1"/>
  <c r="AZ38" i="1"/>
  <c r="I38" i="1" s="1"/>
  <c r="AY38" i="1"/>
  <c r="H38" i="1" s="1"/>
  <c r="AX38" i="1"/>
  <c r="G38" i="1" s="1"/>
  <c r="F38" i="1"/>
  <c r="E38" i="1"/>
  <c r="U38" i="1"/>
  <c r="T38" i="1"/>
  <c r="AZ18" i="1"/>
  <c r="I18" i="1" s="1"/>
  <c r="AY18" i="1"/>
  <c r="H18" i="1" s="1"/>
  <c r="AX18" i="1"/>
  <c r="G18" i="1" s="1"/>
  <c r="F18" i="1"/>
  <c r="E18" i="1"/>
  <c r="U18" i="1"/>
  <c r="T18" i="1"/>
  <c r="AY67" i="1"/>
  <c r="H67" i="1" s="1"/>
  <c r="AX67" i="1"/>
  <c r="G67" i="1" s="1"/>
  <c r="F67" i="1"/>
  <c r="E67" i="1"/>
  <c r="U67" i="1"/>
  <c r="T67" i="1"/>
  <c r="AY62" i="1"/>
  <c r="H62" i="1" s="1"/>
  <c r="AX62" i="1"/>
  <c r="G62" i="1" s="1"/>
  <c r="F62" i="1"/>
  <c r="E62" i="1"/>
  <c r="U62" i="1"/>
  <c r="T62" i="1"/>
  <c r="AY65" i="1"/>
  <c r="H65" i="1" s="1"/>
  <c r="AX65" i="1"/>
  <c r="G65" i="1" s="1"/>
  <c r="F65" i="1"/>
  <c r="E65" i="1"/>
  <c r="U65" i="1"/>
  <c r="T65" i="1"/>
  <c r="AY71" i="1"/>
  <c r="H71" i="1" s="1"/>
  <c r="AX71" i="1"/>
  <c r="G71" i="1" s="1"/>
  <c r="F71" i="1"/>
  <c r="E71" i="1"/>
  <c r="U71" i="1"/>
  <c r="T71" i="1"/>
  <c r="AZ11" i="1"/>
  <c r="I11" i="1" s="1"/>
  <c r="AY11" i="1"/>
  <c r="H11" i="1" s="1"/>
  <c r="AX11" i="1"/>
  <c r="G11" i="1" s="1"/>
  <c r="F11" i="1"/>
  <c r="E11" i="1"/>
  <c r="U11" i="1"/>
  <c r="T11" i="1"/>
  <c r="AZ22" i="1"/>
  <c r="I22" i="1" s="1"/>
  <c r="AY22" i="1"/>
  <c r="H22" i="1" s="1"/>
  <c r="AX22" i="1"/>
  <c r="G22" i="1" s="1"/>
  <c r="F22" i="1"/>
  <c r="E22" i="1"/>
  <c r="U22" i="1"/>
  <c r="T22" i="1"/>
  <c r="AY19" i="1"/>
  <c r="H19" i="1" s="1"/>
  <c r="AX19" i="1"/>
  <c r="G19" i="1" s="1"/>
  <c r="F19" i="1"/>
  <c r="E19" i="1"/>
  <c r="U19" i="1"/>
  <c r="T19" i="1"/>
  <c r="AY82" i="1"/>
  <c r="H82" i="1" s="1"/>
  <c r="AX82" i="1"/>
  <c r="G82" i="1" s="1"/>
  <c r="F82" i="1"/>
  <c r="E82" i="1"/>
  <c r="U82" i="1"/>
  <c r="T82" i="1"/>
  <c r="AZ9" i="1"/>
  <c r="I9" i="1" s="1"/>
  <c r="AY9" i="1"/>
  <c r="H9" i="1" s="1"/>
  <c r="AX9" i="1"/>
  <c r="G9" i="1" s="1"/>
  <c r="F9" i="1"/>
  <c r="E9" i="1"/>
  <c r="U9" i="1"/>
  <c r="T9" i="1"/>
  <c r="AY56" i="1"/>
  <c r="H56" i="1" s="1"/>
  <c r="AX56" i="1"/>
  <c r="G56" i="1" s="1"/>
  <c r="F56" i="1"/>
  <c r="E56" i="1"/>
  <c r="U56" i="1"/>
  <c r="T56" i="1"/>
  <c r="AY20" i="1"/>
  <c r="H20" i="1" s="1"/>
  <c r="AX20" i="1"/>
  <c r="G20" i="1" s="1"/>
  <c r="F20" i="1"/>
  <c r="E20" i="1"/>
  <c r="U20" i="1"/>
  <c r="T20" i="1"/>
  <c r="AZ49" i="1"/>
  <c r="I49" i="1" s="1"/>
  <c r="AY49" i="1"/>
  <c r="H49" i="1" s="1"/>
  <c r="AX49" i="1"/>
  <c r="G49" i="1" s="1"/>
  <c r="F49" i="1"/>
  <c r="E49" i="1"/>
  <c r="U49" i="1"/>
  <c r="T49" i="1"/>
  <c r="AZ15" i="1"/>
  <c r="I15" i="1" s="1"/>
  <c r="AY15" i="1"/>
  <c r="H15" i="1" s="1"/>
  <c r="AX15" i="1"/>
  <c r="G15" i="1" s="1"/>
  <c r="F15" i="1"/>
  <c r="E15" i="1"/>
  <c r="U15" i="1"/>
  <c r="T15" i="1"/>
  <c r="AZ16" i="1"/>
  <c r="I16" i="1" s="1"/>
  <c r="AY16" i="1"/>
  <c r="H16" i="1" s="1"/>
  <c r="AX16" i="1"/>
  <c r="G16" i="1" s="1"/>
  <c r="F16" i="1"/>
  <c r="E16" i="1"/>
  <c r="U16" i="1"/>
  <c r="T16" i="1"/>
  <c r="AZ55" i="1"/>
  <c r="I55" i="1" s="1"/>
  <c r="AY55" i="1"/>
  <c r="H55" i="1" s="1"/>
  <c r="AX55" i="1"/>
  <c r="G55" i="1" s="1"/>
  <c r="F55" i="1"/>
  <c r="E55" i="1"/>
  <c r="U55" i="1"/>
  <c r="T55" i="1"/>
  <c r="AZ23" i="1"/>
  <c r="I23" i="1" s="1"/>
  <c r="AY23" i="1"/>
  <c r="H23" i="1" s="1"/>
  <c r="AX23" i="1"/>
  <c r="G23" i="1" s="1"/>
  <c r="F23" i="1"/>
  <c r="E23" i="1"/>
  <c r="U23" i="1"/>
  <c r="T23" i="1"/>
  <c r="AZ90" i="1"/>
  <c r="I90" i="1" s="1"/>
  <c r="AY90" i="1"/>
  <c r="H90" i="1" s="1"/>
  <c r="AX90" i="1"/>
  <c r="G90" i="1" s="1"/>
  <c r="F90" i="1"/>
  <c r="E90" i="1"/>
  <c r="U90" i="1"/>
  <c r="T90" i="1"/>
  <c r="AZ57" i="1"/>
  <c r="I57" i="1" s="1"/>
  <c r="AY57" i="1"/>
  <c r="H57" i="1" s="1"/>
  <c r="AX57" i="1"/>
  <c r="G57" i="1" s="1"/>
  <c r="F57" i="1"/>
  <c r="E57" i="1"/>
  <c r="U57" i="1"/>
  <c r="T57" i="1"/>
  <c r="AZ40" i="1"/>
  <c r="I40" i="1" s="1"/>
  <c r="AY40" i="1"/>
  <c r="H40" i="1" s="1"/>
  <c r="AX40" i="1"/>
  <c r="G40" i="1" s="1"/>
  <c r="F40" i="1"/>
  <c r="E40" i="1"/>
  <c r="U40" i="1"/>
  <c r="T40" i="1"/>
  <c r="AY39" i="1"/>
  <c r="H39" i="1" s="1"/>
  <c r="AX39" i="1"/>
  <c r="G39" i="1" s="1"/>
  <c r="F39" i="1"/>
  <c r="E39" i="1"/>
  <c r="U39" i="1"/>
  <c r="T39" i="1"/>
  <c r="AZ29" i="1"/>
  <c r="I29" i="1" s="1"/>
  <c r="AY29" i="1"/>
  <c r="H29" i="1" s="1"/>
  <c r="AX29" i="1"/>
  <c r="G29" i="1" s="1"/>
  <c r="F29" i="1"/>
  <c r="E29" i="1"/>
  <c r="U29" i="1"/>
  <c r="T29" i="1"/>
  <c r="AZ21" i="1"/>
  <c r="I21" i="1" s="1"/>
  <c r="AY21" i="1"/>
  <c r="H21" i="1" s="1"/>
  <c r="AX21" i="1"/>
  <c r="G21" i="1" s="1"/>
  <c r="F21" i="1"/>
  <c r="E21" i="1"/>
  <c r="U21" i="1"/>
  <c r="T21" i="1"/>
  <c r="AZ31" i="1"/>
  <c r="I31" i="1" s="1"/>
  <c r="AY31" i="1"/>
  <c r="H31" i="1" s="1"/>
  <c r="AX31" i="1"/>
  <c r="G31" i="1" s="1"/>
  <c r="F31" i="1"/>
  <c r="E31" i="1"/>
  <c r="U31" i="1"/>
  <c r="T31" i="1"/>
  <c r="AZ12" i="1"/>
  <c r="I12" i="1" s="1"/>
  <c r="AY12" i="1"/>
  <c r="H12" i="1" s="1"/>
  <c r="AX12" i="1"/>
  <c r="G12" i="1" s="1"/>
  <c r="F12" i="1"/>
  <c r="E12" i="1"/>
  <c r="U12" i="1"/>
  <c r="T12" i="1"/>
  <c r="AZ10" i="1"/>
  <c r="I10" i="1" s="1"/>
  <c r="AY10" i="1"/>
  <c r="H10" i="1" s="1"/>
  <c r="AX10" i="1"/>
  <c r="G10" i="1" s="1"/>
  <c r="F10" i="1"/>
  <c r="E10" i="1"/>
  <c r="U10" i="1"/>
  <c r="T10" i="1"/>
  <c r="AZ48" i="1"/>
  <c r="I48" i="1" s="1"/>
  <c r="AY48" i="1"/>
  <c r="H48" i="1" s="1"/>
  <c r="AX48" i="1"/>
  <c r="G48" i="1" s="1"/>
  <c r="F48" i="1"/>
  <c r="E48" i="1"/>
  <c r="U48" i="1"/>
  <c r="T48" i="1"/>
  <c r="AZ50" i="1"/>
  <c r="I50" i="1" s="1"/>
  <c r="AY50" i="1"/>
  <c r="H50" i="1" s="1"/>
  <c r="AX50" i="1"/>
  <c r="G50" i="1" s="1"/>
  <c r="F50" i="1"/>
  <c r="E50" i="1"/>
  <c r="U50" i="1"/>
  <c r="T50" i="1"/>
  <c r="AY64" i="1"/>
  <c r="H64" i="1" s="1"/>
  <c r="AX64" i="1"/>
  <c r="G64" i="1" s="1"/>
  <c r="F64" i="1"/>
  <c r="E64" i="1"/>
  <c r="U64" i="1"/>
  <c r="T64" i="1"/>
  <c r="AZ53" i="1"/>
  <c r="I53" i="1" s="1"/>
  <c r="AY53" i="1"/>
  <c r="H53" i="1" s="1"/>
  <c r="AX53" i="1"/>
  <c r="G53" i="1" s="1"/>
  <c r="F53" i="1"/>
  <c r="E53" i="1"/>
  <c r="U53" i="1"/>
  <c r="T53" i="1"/>
  <c r="AZ86" i="1"/>
  <c r="I86" i="1" s="1"/>
  <c r="AY86" i="1"/>
  <c r="H86" i="1" s="1"/>
  <c r="AX86" i="1"/>
  <c r="G86" i="1" s="1"/>
  <c r="F86" i="1"/>
  <c r="E86" i="1"/>
  <c r="U86" i="1"/>
  <c r="T86" i="1"/>
  <c r="AZ8" i="1"/>
  <c r="I8" i="1" s="1"/>
  <c r="AY8" i="1"/>
  <c r="H8" i="1" s="1"/>
  <c r="AX8" i="1"/>
  <c r="G8" i="1" s="1"/>
  <c r="F8" i="1"/>
  <c r="E8" i="1"/>
  <c r="U8" i="1"/>
  <c r="T8" i="1"/>
  <c r="AZ28" i="1"/>
  <c r="I28" i="1" s="1"/>
  <c r="AY28" i="1"/>
  <c r="H28" i="1" s="1"/>
  <c r="AX28" i="1"/>
  <c r="G28" i="1" s="1"/>
  <c r="F28" i="1"/>
  <c r="E28" i="1"/>
  <c r="U28" i="1"/>
  <c r="T28" i="1"/>
  <c r="AZ26" i="1"/>
  <c r="I26" i="1" s="1"/>
  <c r="AY26" i="1"/>
  <c r="H26" i="1" s="1"/>
  <c r="AX26" i="1"/>
  <c r="G26" i="1" s="1"/>
  <c r="F26" i="1"/>
  <c r="E26" i="1"/>
  <c r="U26" i="1"/>
  <c r="T26" i="1"/>
  <c r="AZ45" i="1"/>
  <c r="I45" i="1" s="1"/>
  <c r="AY45" i="1"/>
  <c r="H45" i="1" s="1"/>
  <c r="AX45" i="1"/>
  <c r="G45" i="1" s="1"/>
  <c r="F45" i="1"/>
  <c r="E45" i="1"/>
  <c r="U45" i="1"/>
  <c r="T45" i="1"/>
  <c r="AZ77" i="1"/>
  <c r="I77" i="1" s="1"/>
  <c r="AY77" i="1"/>
  <c r="H77" i="1" s="1"/>
  <c r="AX77" i="1"/>
  <c r="G77" i="1" s="1"/>
  <c r="F77" i="1"/>
  <c r="E77" i="1"/>
  <c r="U77" i="1"/>
  <c r="T77" i="1"/>
  <c r="AZ33" i="1"/>
  <c r="I33" i="1" s="1"/>
  <c r="AY33" i="1"/>
  <c r="H33" i="1" s="1"/>
  <c r="AX33" i="1"/>
  <c r="G33" i="1" s="1"/>
  <c r="F33" i="1"/>
  <c r="E33" i="1"/>
  <c r="U33" i="1"/>
  <c r="T33" i="1"/>
  <c r="AZ35" i="1"/>
  <c r="I35" i="1" s="1"/>
  <c r="AY35" i="1"/>
  <c r="H35" i="1" s="1"/>
  <c r="AX35" i="1"/>
  <c r="G35" i="1" s="1"/>
  <c r="F35" i="1"/>
  <c r="E35" i="1"/>
  <c r="U35" i="1"/>
  <c r="T35" i="1"/>
  <c r="AZ47" i="1"/>
  <c r="I47" i="1" s="1"/>
  <c r="AY47" i="1"/>
  <c r="H47" i="1" s="1"/>
  <c r="AX47" i="1"/>
  <c r="G47" i="1" s="1"/>
  <c r="F47" i="1"/>
  <c r="E47" i="1"/>
  <c r="U47" i="1"/>
  <c r="T47" i="1"/>
  <c r="AZ27" i="1"/>
  <c r="I27" i="1" s="1"/>
  <c r="AY27" i="1"/>
  <c r="H27" i="1" s="1"/>
  <c r="AX27" i="1"/>
  <c r="G27" i="1" s="1"/>
  <c r="F27" i="1"/>
  <c r="E27" i="1"/>
  <c r="U27" i="1"/>
  <c r="T27" i="1"/>
  <c r="AZ52" i="1"/>
  <c r="I52" i="1" s="1"/>
  <c r="AY52" i="1"/>
  <c r="H52" i="1" s="1"/>
  <c r="AX52" i="1"/>
  <c r="G52" i="1" s="1"/>
  <c r="F52" i="1"/>
  <c r="E52" i="1"/>
  <c r="U52" i="1"/>
  <c r="T52" i="1"/>
  <c r="AY36" i="1"/>
  <c r="H36" i="1" s="1"/>
  <c r="AX36" i="1"/>
  <c r="G36" i="1" s="1"/>
  <c r="F36" i="1"/>
  <c r="E36" i="1"/>
  <c r="U36" i="1"/>
  <c r="T36" i="1"/>
  <c r="AZ30" i="1"/>
  <c r="I30" i="1" s="1"/>
  <c r="AY30" i="1"/>
  <c r="H30" i="1" s="1"/>
  <c r="AX30" i="1"/>
  <c r="G30" i="1" s="1"/>
  <c r="F30" i="1"/>
  <c r="E30" i="1"/>
  <c r="U30" i="1"/>
  <c r="T30" i="1"/>
  <c r="AZ70" i="1"/>
  <c r="I70" i="1" s="1"/>
  <c r="AY70" i="1"/>
  <c r="H70" i="1" s="1"/>
  <c r="AX70" i="1"/>
  <c r="G70" i="1" s="1"/>
  <c r="F70" i="1"/>
  <c r="E70" i="1"/>
  <c r="U70" i="1"/>
  <c r="T70" i="1"/>
  <c r="AZ34" i="1"/>
  <c r="I34" i="1" s="1"/>
  <c r="AY34" i="1"/>
  <c r="H34" i="1" s="1"/>
  <c r="AX34" i="1"/>
  <c r="G34" i="1" s="1"/>
  <c r="F34" i="1"/>
  <c r="E34" i="1"/>
  <c r="U34" i="1"/>
  <c r="T34" i="1"/>
  <c r="AZ87" i="1"/>
  <c r="I87" i="1" s="1"/>
  <c r="AY87" i="1"/>
  <c r="H87" i="1" s="1"/>
  <c r="AX87" i="1"/>
  <c r="G87" i="1" s="1"/>
  <c r="F87" i="1"/>
  <c r="E87" i="1"/>
  <c r="U87" i="1"/>
  <c r="T87" i="1"/>
  <c r="AZ14" i="1"/>
  <c r="I14" i="1" s="1"/>
  <c r="AY14" i="1"/>
  <c r="H14" i="1" s="1"/>
  <c r="AX14" i="1"/>
  <c r="G14" i="1" s="1"/>
  <c r="F14" i="1"/>
  <c r="E14" i="1"/>
  <c r="U14" i="1"/>
  <c r="T14" i="1"/>
  <c r="AY46" i="1"/>
  <c r="H46" i="1" s="1"/>
  <c r="AX46" i="1"/>
  <c r="G46" i="1" s="1"/>
  <c r="F46" i="1"/>
  <c r="E46" i="1"/>
  <c r="U46" i="1"/>
  <c r="T46" i="1"/>
  <c r="AZ88" i="1"/>
  <c r="I88" i="1" s="1"/>
  <c r="AY88" i="1"/>
  <c r="H88" i="1" s="1"/>
  <c r="AX88" i="1"/>
  <c r="G88" i="1" s="1"/>
  <c r="F88" i="1"/>
  <c r="E88" i="1"/>
  <c r="U88" i="1"/>
  <c r="T88" i="1"/>
  <c r="AZ78" i="1"/>
  <c r="I78" i="1" s="1"/>
  <c r="AY78" i="1"/>
  <c r="H78" i="1" s="1"/>
  <c r="AX78" i="1"/>
  <c r="G78" i="1" s="1"/>
  <c r="F78" i="1"/>
  <c r="E78" i="1"/>
  <c r="U78" i="1"/>
  <c r="T78" i="1"/>
  <c r="AZ44" i="1"/>
  <c r="I44" i="1" s="1"/>
  <c r="AY44" i="1"/>
  <c r="H44" i="1" s="1"/>
  <c r="AX44" i="1"/>
  <c r="G44" i="1" s="1"/>
  <c r="F44" i="1"/>
  <c r="E44" i="1"/>
  <c r="U44" i="1"/>
  <c r="T44" i="1"/>
  <c r="AZ7" i="1"/>
  <c r="I7" i="1" s="1"/>
  <c r="AY7" i="1"/>
  <c r="H7" i="1" s="1"/>
  <c r="AX7" i="1"/>
  <c r="G7" i="1" s="1"/>
  <c r="F7" i="1"/>
  <c r="E7" i="1"/>
  <c r="U7" i="1"/>
  <c r="T7" i="1"/>
  <c r="AZ43" i="1"/>
  <c r="I43" i="1" s="1"/>
  <c r="AY43" i="1"/>
  <c r="H43" i="1" s="1"/>
  <c r="AX43" i="1"/>
  <c r="G43" i="1" s="1"/>
  <c r="F43" i="1"/>
  <c r="E43" i="1"/>
  <c r="U43" i="1"/>
  <c r="T43" i="1"/>
  <c r="AZ60" i="1"/>
  <c r="I60" i="1" s="1"/>
  <c r="AY60" i="1"/>
  <c r="H60" i="1" s="1"/>
  <c r="AX60" i="1"/>
  <c r="G60" i="1" s="1"/>
  <c r="F60" i="1"/>
  <c r="E60" i="1"/>
  <c r="U60" i="1"/>
  <c r="T60" i="1"/>
  <c r="AZ13" i="1"/>
  <c r="I13" i="1" s="1"/>
  <c r="AY13" i="1"/>
  <c r="H13" i="1" s="1"/>
  <c r="AX13" i="1"/>
  <c r="G13" i="1" s="1"/>
  <c r="F13" i="1"/>
  <c r="E13" i="1"/>
  <c r="U13" i="1"/>
  <c r="T13" i="1"/>
  <c r="AZ24" i="1"/>
  <c r="I24" i="1" s="1"/>
  <c r="AY24" i="1"/>
  <c r="H24" i="1" s="1"/>
  <c r="AX24" i="1"/>
  <c r="G24" i="1" s="1"/>
  <c r="F24" i="1"/>
  <c r="E24" i="1"/>
  <c r="U24" i="1"/>
  <c r="T24" i="1"/>
  <c r="AZ42" i="1"/>
  <c r="I42" i="1" s="1"/>
  <c r="AY42" i="1"/>
  <c r="H42" i="1" s="1"/>
  <c r="AX42" i="1"/>
  <c r="G42" i="1" s="1"/>
  <c r="F42" i="1"/>
  <c r="E42" i="1"/>
  <c r="U42" i="1"/>
  <c r="T42" i="1"/>
  <c r="AZ74" i="1"/>
  <c r="I74" i="1" s="1"/>
  <c r="AY74" i="1"/>
  <c r="H74" i="1" s="1"/>
  <c r="AX74" i="1"/>
  <c r="G74" i="1" s="1"/>
  <c r="F74" i="1"/>
  <c r="E74" i="1"/>
  <c r="U74" i="1"/>
  <c r="T74" i="1"/>
  <c r="AZ100" i="1"/>
  <c r="I100" i="1" s="1"/>
  <c r="AY100" i="1"/>
  <c r="H100" i="1" s="1"/>
  <c r="AX100" i="1"/>
  <c r="G100" i="1" s="1"/>
  <c r="F100" i="1"/>
  <c r="E100" i="1"/>
  <c r="U100" i="1"/>
  <c r="T100" i="1"/>
  <c r="AX25" i="1"/>
  <c r="G25" i="1" s="1"/>
  <c r="K62" i="1" l="1"/>
  <c r="K58" i="1"/>
  <c r="J32" i="1"/>
  <c r="K67" i="1"/>
  <c r="J38" i="1"/>
  <c r="K41" i="1"/>
  <c r="K71" i="1"/>
  <c r="K65" i="1"/>
  <c r="J93" i="1"/>
  <c r="K61" i="1"/>
  <c r="J58" i="1"/>
  <c r="K32" i="1"/>
  <c r="J67" i="1"/>
  <c r="J41" i="1"/>
  <c r="J71" i="1"/>
  <c r="K18" i="1"/>
  <c r="K38" i="1"/>
  <c r="K91" i="1"/>
  <c r="K59" i="1"/>
  <c r="J62" i="1"/>
  <c r="J59" i="1"/>
  <c r="K93" i="1"/>
  <c r="J91" i="1"/>
  <c r="J65" i="1"/>
  <c r="K85" i="1"/>
  <c r="J85" i="1"/>
  <c r="J18" i="1"/>
  <c r="J61" i="1"/>
  <c r="J22" i="1"/>
  <c r="K86" i="1"/>
  <c r="J64" i="1"/>
  <c r="K53" i="1"/>
  <c r="J7" i="1"/>
  <c r="J31" i="1"/>
  <c r="K47" i="1"/>
  <c r="K70" i="1"/>
  <c r="K49" i="1"/>
  <c r="K12" i="1"/>
  <c r="J11" i="1"/>
  <c r="K30" i="1"/>
  <c r="J28" i="1"/>
  <c r="J77" i="1"/>
  <c r="K19" i="1"/>
  <c r="J48" i="1"/>
  <c r="J10" i="1"/>
  <c r="K35" i="1"/>
  <c r="J27" i="1"/>
  <c r="K40" i="1"/>
  <c r="K39" i="1"/>
  <c r="J44" i="1"/>
  <c r="K26" i="1"/>
  <c r="K52" i="1"/>
  <c r="K36" i="1"/>
  <c r="J46" i="1"/>
  <c r="K87" i="1"/>
  <c r="J33" i="1"/>
  <c r="K50" i="1"/>
  <c r="K21" i="1"/>
  <c r="K23" i="1"/>
  <c r="J8" i="1"/>
  <c r="J78" i="1"/>
  <c r="K13" i="1"/>
  <c r="K14" i="1"/>
  <c r="K34" i="1"/>
  <c r="J45" i="1"/>
  <c r="K82" i="1"/>
  <c r="J43" i="1"/>
  <c r="J88" i="1"/>
  <c r="K31" i="1"/>
  <c r="K78" i="1"/>
  <c r="K88" i="1"/>
  <c r="J35" i="1"/>
  <c r="J26" i="1"/>
  <c r="J12" i="1"/>
  <c r="J87" i="1"/>
  <c r="J34" i="1"/>
  <c r="J36" i="1"/>
  <c r="J52" i="1"/>
  <c r="J47" i="1"/>
  <c r="J53" i="1"/>
  <c r="J13" i="1"/>
  <c r="K64" i="1"/>
  <c r="K100" i="1"/>
  <c r="J14" i="1"/>
  <c r="K43" i="1"/>
  <c r="J70" i="1"/>
  <c r="K48" i="1"/>
  <c r="K7" i="1"/>
  <c r="K44" i="1"/>
  <c r="K33" i="1"/>
  <c r="K77" i="1"/>
  <c r="K28" i="1"/>
  <c r="K8" i="1"/>
  <c r="J49" i="1"/>
  <c r="K46" i="1"/>
  <c r="J30" i="1"/>
  <c r="K27" i="1"/>
  <c r="J86" i="1"/>
  <c r="J50" i="1"/>
  <c r="K10" i="1"/>
  <c r="K22" i="1"/>
  <c r="K45" i="1"/>
  <c r="K60" i="1"/>
  <c r="J42" i="1"/>
  <c r="K24" i="1"/>
  <c r="K90" i="1"/>
  <c r="K16" i="1"/>
  <c r="K15" i="1"/>
  <c r="J82" i="1"/>
  <c r="J21" i="1"/>
  <c r="K11" i="1"/>
  <c r="J40" i="1"/>
  <c r="K56" i="1"/>
  <c r="K9" i="1"/>
  <c r="J60" i="1"/>
  <c r="K74" i="1"/>
  <c r="J74" i="1"/>
  <c r="K42" i="1"/>
  <c r="J100" i="1"/>
  <c r="K57" i="1"/>
  <c r="J57" i="1"/>
  <c r="J16" i="1"/>
  <c r="K55" i="1"/>
  <c r="J55" i="1"/>
  <c r="J56" i="1"/>
  <c r="J39" i="1"/>
  <c r="K20" i="1"/>
  <c r="J20" i="1"/>
  <c r="J19" i="1"/>
  <c r="J24" i="1"/>
  <c r="K29" i="1"/>
  <c r="J29" i="1"/>
  <c r="J90" i="1"/>
  <c r="J23" i="1"/>
  <c r="J15" i="1"/>
  <c r="J9" i="1"/>
  <c r="E25" i="1" l="1"/>
  <c r="U69" i="1" l="1"/>
  <c r="U25" i="1"/>
  <c r="T25" i="1"/>
  <c r="T69" i="1"/>
  <c r="AX69" i="1" l="1"/>
  <c r="G69" i="1" s="1"/>
  <c r="E69" i="1"/>
  <c r="AY25" i="1" l="1"/>
  <c r="H25" i="1" s="1"/>
  <c r="F25" i="1"/>
  <c r="AZ69" i="1"/>
  <c r="I69" i="1" s="1"/>
  <c r="AY69" i="1"/>
  <c r="H69" i="1" s="1"/>
  <c r="F69" i="1"/>
  <c r="K69" i="1" l="1"/>
  <c r="K25" i="1"/>
  <c r="J25" i="1"/>
  <c r="J69" i="1"/>
  <c r="I19" i="1" l="1"/>
  <c r="I62" i="1"/>
  <c r="I46" i="1"/>
  <c r="I25" i="1"/>
  <c r="I71" i="1"/>
  <c r="I64" i="1"/>
  <c r="I82" i="1"/>
  <c r="I39" i="1"/>
  <c r="I65" i="1"/>
  <c r="I20" i="1"/>
  <c r="I56" i="1"/>
  <c r="I67" i="1"/>
  <c r="I36" i="1"/>
  <c r="S6" i="1" l="1"/>
  <c r="BA6" i="1" s="1"/>
  <c r="S7" i="1" l="1"/>
  <c r="BA7" i="1" s="1"/>
  <c r="S8" i="1" l="1"/>
  <c r="BA8" i="1" s="1"/>
  <c r="S9" i="1" l="1"/>
  <c r="BA9" i="1" s="1"/>
  <c r="S10" i="1" l="1"/>
  <c r="BA10" i="1" s="1"/>
  <c r="S11" i="1" l="1"/>
  <c r="BA11" i="1" s="1"/>
  <c r="S12" i="1" l="1"/>
  <c r="BA12" i="1" s="1"/>
  <c r="S13" i="1" l="1"/>
  <c r="BA13" i="1" s="1"/>
  <c r="S14" i="1" l="1"/>
  <c r="BA14" i="1" s="1"/>
  <c r="S15" i="1" l="1"/>
  <c r="BA15" i="1" s="1"/>
  <c r="S16" i="1" l="1"/>
  <c r="S17" i="1" l="1"/>
  <c r="BA17" i="1" s="1"/>
  <c r="BA16" i="1"/>
  <c r="S18" i="1" l="1"/>
  <c r="BA18" i="1" s="1"/>
  <c r="S19" i="1"/>
  <c r="BA19" i="1" s="1"/>
  <c r="S20" i="1" l="1"/>
  <c r="BA20" i="1" s="1"/>
  <c r="S21" i="1" l="1"/>
  <c r="BA21" i="1" s="1"/>
  <c r="S22" i="1" l="1"/>
  <c r="BA22" i="1" s="1"/>
  <c r="S23" i="1" l="1"/>
  <c r="BA23" i="1" s="1"/>
  <c r="S24" i="1" l="1"/>
  <c r="BA24" i="1" s="1"/>
  <c r="S25" i="1" l="1"/>
  <c r="BA25" i="1" s="1"/>
  <c r="S26" i="1" l="1"/>
  <c r="BA26" i="1" s="1"/>
  <c r="S27" i="1" l="1"/>
  <c r="BA27" i="1" s="1"/>
  <c r="S28" i="1" l="1"/>
  <c r="BA28" i="1" s="1"/>
  <c r="S29" i="1" l="1"/>
  <c r="BA29" i="1" s="1"/>
  <c r="S30" i="1" l="1"/>
  <c r="BA30" i="1" s="1"/>
  <c r="S31" i="1" l="1"/>
  <c r="BA31" i="1" s="1"/>
  <c r="S32" i="1" l="1"/>
  <c r="BA32" i="1" s="1"/>
  <c r="S33" i="1" l="1"/>
  <c r="BA33" i="1" s="1"/>
  <c r="S34" i="1" l="1"/>
  <c r="BA34" i="1" s="1"/>
  <c r="S35" i="1" l="1"/>
  <c r="BA35" i="1" s="1"/>
  <c r="S36" i="1" l="1"/>
  <c r="BA36" i="1" s="1"/>
  <c r="S37" i="1" l="1"/>
  <c r="BA37" i="1" s="1"/>
  <c r="S38" i="1" l="1"/>
  <c r="BA38" i="1" s="1"/>
  <c r="S39" i="1" l="1"/>
  <c r="BA39" i="1" s="1"/>
  <c r="E6" i="4" l="1"/>
  <c r="E29" i="4"/>
  <c r="F53" i="4"/>
  <c r="F16" i="4"/>
  <c r="E14" i="4"/>
  <c r="E44" i="4"/>
  <c r="F61" i="4"/>
  <c r="F5" i="4"/>
  <c r="F24" i="4"/>
  <c r="F22" i="4"/>
  <c r="F46" i="4"/>
  <c r="E27" i="4"/>
  <c r="F3" i="4"/>
  <c r="F43" i="4"/>
  <c r="E47" i="4"/>
  <c r="F2" i="4"/>
  <c r="F55" i="4"/>
  <c r="F36" i="4"/>
  <c r="F23" i="4"/>
  <c r="F41" i="4"/>
  <c r="F42" i="4"/>
  <c r="F8" i="4"/>
  <c r="E5" i="4"/>
  <c r="E10" i="4"/>
  <c r="E13" i="4"/>
  <c r="F44" i="4"/>
  <c r="F12" i="4"/>
  <c r="F7" i="4"/>
  <c r="F58" i="4"/>
  <c r="F6" i="4"/>
  <c r="E36" i="4"/>
  <c r="E21" i="4"/>
  <c r="F49" i="4"/>
  <c r="E23" i="4"/>
  <c r="E12" i="4"/>
  <c r="E52" i="4"/>
  <c r="E31" i="4"/>
  <c r="E8" i="4"/>
  <c r="F45" i="4"/>
  <c r="E57" i="4"/>
  <c r="E43" i="4"/>
  <c r="E4" i="4"/>
  <c r="E56" i="4"/>
  <c r="E46" i="4"/>
  <c r="F20" i="4"/>
  <c r="E34" i="4"/>
  <c r="E20" i="4"/>
  <c r="F60" i="4"/>
  <c r="E61" i="4"/>
  <c r="E35" i="4"/>
  <c r="E49" i="4"/>
  <c r="F32" i="4"/>
  <c r="E16" i="4"/>
  <c r="E15" i="4"/>
  <c r="F9" i="4"/>
  <c r="E42" i="4"/>
  <c r="F33" i="4"/>
  <c r="F27" i="4"/>
  <c r="E45" i="4"/>
  <c r="E48" i="4"/>
  <c r="E54" i="4"/>
  <c r="F52" i="4"/>
  <c r="F14" i="4"/>
  <c r="F50" i="4"/>
  <c r="F4" i="4"/>
  <c r="F19" i="4"/>
  <c r="F30" i="4"/>
  <c r="F11" i="4"/>
  <c r="F10" i="4"/>
  <c r="E37" i="4"/>
  <c r="E40" i="4"/>
  <c r="F21" i="4"/>
  <c r="F37" i="4"/>
  <c r="F13" i="4"/>
  <c r="F51" i="4"/>
  <c r="F47" i="4"/>
  <c r="F17" i="4"/>
  <c r="F26" i="4"/>
  <c r="F25" i="4"/>
  <c r="F15" i="4"/>
  <c r="E3" i="4"/>
  <c r="E58" i="4"/>
  <c r="F31" i="4"/>
  <c r="E9" i="4"/>
  <c r="E60" i="4"/>
  <c r="E53" i="4"/>
  <c r="F34" i="4"/>
  <c r="E11" i="4"/>
  <c r="F54" i="4"/>
  <c r="F39" i="4"/>
  <c r="E7" i="4"/>
  <c r="E51" i="4"/>
  <c r="E55" i="4"/>
  <c r="E25" i="4"/>
  <c r="F40" i="4"/>
  <c r="F35" i="4"/>
  <c r="E39" i="4"/>
  <c r="F48" i="4"/>
  <c r="E2" i="4"/>
  <c r="E59" i="4"/>
  <c r="E41" i="4"/>
  <c r="E28" i="4"/>
  <c r="E24" i="4"/>
  <c r="E22" i="4"/>
  <c r="E18" i="4"/>
  <c r="E26" i="4"/>
  <c r="F56" i="4"/>
  <c r="E50" i="4"/>
  <c r="F18" i="4"/>
  <c r="F38" i="4"/>
  <c r="E32" i="4"/>
  <c r="F59" i="4"/>
  <c r="F29" i="4"/>
  <c r="F28" i="4"/>
  <c r="F57" i="4"/>
  <c r="E17" i="4"/>
  <c r="E33" i="4"/>
  <c r="E30" i="4"/>
  <c r="E38" i="4"/>
  <c r="E19" i="4"/>
  <c r="G19" i="4" l="1"/>
  <c r="H19" i="4" s="1"/>
  <c r="D19" i="4"/>
  <c r="G22" i="4"/>
  <c r="H22" i="4" s="1"/>
  <c r="D22" i="4"/>
  <c r="G11" i="4"/>
  <c r="D11" i="4"/>
  <c r="D42" i="4"/>
  <c r="G42" i="4"/>
  <c r="H42" i="4" s="1"/>
  <c r="D57" i="4"/>
  <c r="G57" i="4"/>
  <c r="H57" i="4" s="1"/>
  <c r="D21" i="4"/>
  <c r="G21" i="4"/>
  <c r="H21" i="4" s="1"/>
  <c r="G10" i="4"/>
  <c r="H10" i="4" s="1"/>
  <c r="D10" i="4"/>
  <c r="D38" i="4"/>
  <c r="G38" i="4"/>
  <c r="H38" i="4" s="1"/>
  <c r="D32" i="4"/>
  <c r="G32" i="4"/>
  <c r="H32" i="4" s="1"/>
  <c r="D24" i="4"/>
  <c r="G24" i="4"/>
  <c r="H24" i="4" s="1"/>
  <c r="D40" i="4"/>
  <c r="G40" i="4"/>
  <c r="H40" i="4" s="1"/>
  <c r="D20" i="4"/>
  <c r="G20" i="4"/>
  <c r="H20" i="4" s="1"/>
  <c r="D36" i="4"/>
  <c r="G36" i="4"/>
  <c r="H36" i="4" s="1"/>
  <c r="D5" i="4"/>
  <c r="G5" i="4"/>
  <c r="H5" i="4" s="1"/>
  <c r="G47" i="4"/>
  <c r="H47" i="4" s="1"/>
  <c r="D47" i="4"/>
  <c r="G30" i="4"/>
  <c r="H30" i="4" s="1"/>
  <c r="D30" i="4"/>
  <c r="D28" i="4"/>
  <c r="G28" i="4"/>
  <c r="H28" i="4" s="1"/>
  <c r="G53" i="4"/>
  <c r="H53" i="4" s="1"/>
  <c r="D53" i="4"/>
  <c r="G34" i="4"/>
  <c r="H34" i="4" s="1"/>
  <c r="D34" i="4"/>
  <c r="G8" i="4"/>
  <c r="H8" i="4" s="1"/>
  <c r="D8" i="4"/>
  <c r="D44" i="4"/>
  <c r="G44" i="4"/>
  <c r="H44" i="4" s="1"/>
  <c r="D33" i="4"/>
  <c r="G33" i="4"/>
  <c r="H33" i="4" s="1"/>
  <c r="G41" i="4"/>
  <c r="H41" i="4" s="1"/>
  <c r="D41" i="4"/>
  <c r="G55" i="4"/>
  <c r="H55" i="4" s="1"/>
  <c r="D55" i="4"/>
  <c r="D60" i="4"/>
  <c r="G60" i="4"/>
  <c r="H60" i="4" s="1"/>
  <c r="G54" i="4"/>
  <c r="H54" i="4" s="1"/>
  <c r="D54" i="4"/>
  <c r="D16" i="4"/>
  <c r="G16" i="4"/>
  <c r="H16" i="4" s="1"/>
  <c r="G31" i="4"/>
  <c r="H31" i="4" s="1"/>
  <c r="D31" i="4"/>
  <c r="D14" i="4"/>
  <c r="G14" i="4"/>
  <c r="H14" i="4" s="1"/>
  <c r="D15" i="4"/>
  <c r="G15" i="4"/>
  <c r="H15" i="4" s="1"/>
  <c r="D17" i="4"/>
  <c r="G17" i="4"/>
  <c r="H17" i="4" s="1"/>
  <c r="D50" i="4"/>
  <c r="G50" i="4"/>
  <c r="H50" i="4" s="1"/>
  <c r="G59" i="4"/>
  <c r="H59" i="4" s="1"/>
  <c r="D59" i="4"/>
  <c r="D51" i="4"/>
  <c r="G51" i="4"/>
  <c r="H51" i="4" s="1"/>
  <c r="D9" i="4"/>
  <c r="G9" i="4"/>
  <c r="D48" i="4"/>
  <c r="G48" i="4"/>
  <c r="H48" i="4" s="1"/>
  <c r="D46" i="4"/>
  <c r="G46" i="4"/>
  <c r="H46" i="4" s="1"/>
  <c r="D52" i="4"/>
  <c r="G52" i="4"/>
  <c r="H52" i="4" s="1"/>
  <c r="G27" i="4"/>
  <c r="H27" i="4" s="1"/>
  <c r="D27" i="4"/>
  <c r="D25" i="4"/>
  <c r="G25" i="4"/>
  <c r="H25" i="4" s="1"/>
  <c r="D2" i="4"/>
  <c r="G2" i="4"/>
  <c r="H2" i="4" s="1"/>
  <c r="G7" i="4"/>
  <c r="H7" i="4" s="1"/>
  <c r="D7" i="4"/>
  <c r="G45" i="4"/>
  <c r="H45" i="4" s="1"/>
  <c r="D45" i="4"/>
  <c r="G49" i="4"/>
  <c r="H49" i="4" s="1"/>
  <c r="D49" i="4"/>
  <c r="G56" i="4"/>
  <c r="H56" i="4" s="1"/>
  <c r="D56" i="4"/>
  <c r="D12" i="4"/>
  <c r="G12" i="4"/>
  <c r="G37" i="4"/>
  <c r="H37" i="4" s="1"/>
  <c r="D37" i="4"/>
  <c r="D26" i="4"/>
  <c r="G26" i="4"/>
  <c r="H26" i="4" s="1"/>
  <c r="D58" i="4"/>
  <c r="G58" i="4"/>
  <c r="H58" i="4" s="1"/>
  <c r="D35" i="4"/>
  <c r="G35" i="4"/>
  <c r="H35" i="4" s="1"/>
  <c r="G4" i="4"/>
  <c r="H4" i="4" s="1"/>
  <c r="D4" i="4"/>
  <c r="D23" i="4"/>
  <c r="G23" i="4"/>
  <c r="H23" i="4" s="1"/>
  <c r="G29" i="4"/>
  <c r="H29" i="4" s="1"/>
  <c r="D29" i="4"/>
  <c r="D18" i="4"/>
  <c r="G18" i="4"/>
  <c r="H18" i="4" s="1"/>
  <c r="G39" i="4"/>
  <c r="H39" i="4" s="1"/>
  <c r="D39" i="4"/>
  <c r="D3" i="4"/>
  <c r="G3" i="4"/>
  <c r="H3" i="4" s="1"/>
  <c r="G61" i="4"/>
  <c r="H61" i="4" s="1"/>
  <c r="D61" i="4"/>
  <c r="G43" i="4"/>
  <c r="H43" i="4" s="1"/>
  <c r="D43" i="4"/>
  <c r="D13" i="4"/>
  <c r="G13" i="4"/>
  <c r="D6" i="4"/>
  <c r="G6" i="4"/>
  <c r="H6" i="4" s="1"/>
  <c r="S40" i="1"/>
  <c r="BA40" i="1" s="1"/>
  <c r="S41" i="1" l="1"/>
  <c r="BA41" i="1" l="1"/>
  <c r="S42" i="1"/>
  <c r="BA42" i="1" l="1"/>
  <c r="S43" i="1"/>
  <c r="BA43" i="1" l="1"/>
  <c r="S44" i="1"/>
  <c r="BA44" i="1" s="1"/>
  <c r="S45" i="1" l="1"/>
  <c r="BA45" i="1" l="1"/>
  <c r="S46" i="1"/>
  <c r="BA46" i="1" l="1"/>
  <c r="S47" i="1"/>
  <c r="BA47" i="1" l="1"/>
  <c r="S48" i="1"/>
  <c r="BA48" i="1" l="1"/>
  <c r="S49" i="1"/>
  <c r="BA49" i="1" l="1"/>
  <c r="S50" i="1"/>
  <c r="BA50" i="1" l="1"/>
  <c r="S51" i="1"/>
  <c r="BA51" i="1" l="1"/>
  <c r="S52" i="1"/>
  <c r="BA52" i="1" l="1"/>
  <c r="S53" i="1"/>
  <c r="BA53" i="1" l="1"/>
  <c r="S54" i="1"/>
  <c r="BA54" i="1" l="1"/>
  <c r="S55" i="1"/>
  <c r="BA55" i="1" l="1"/>
  <c r="S56" i="1"/>
  <c r="BA56" i="1" l="1"/>
  <c r="S57" i="1"/>
  <c r="BA57" i="1" l="1"/>
  <c r="S58" i="1"/>
  <c r="BA58" i="1" l="1"/>
  <c r="S59" i="1"/>
  <c r="BA59" i="1" l="1"/>
  <c r="S60" i="1"/>
  <c r="BA60" i="1" l="1"/>
  <c r="S61" i="1"/>
  <c r="BA61" i="1" l="1"/>
  <c r="S62" i="1"/>
  <c r="BA62" i="1" l="1"/>
  <c r="S63" i="1"/>
  <c r="BA63" i="1" l="1"/>
  <c r="S64" i="1"/>
  <c r="BA64" i="1" l="1"/>
  <c r="S65" i="1"/>
  <c r="BA65" i="1" l="1"/>
  <c r="S66" i="1"/>
  <c r="BA66" i="1" l="1"/>
  <c r="S67" i="1"/>
  <c r="BA67" i="1" l="1"/>
  <c r="S68" i="1"/>
  <c r="BA68" i="1" l="1"/>
  <c r="S69" i="1"/>
  <c r="BA69" i="1" l="1"/>
  <c r="S70" i="1"/>
  <c r="BA70" i="1" l="1"/>
  <c r="S71" i="1"/>
  <c r="BA71" i="1" l="1"/>
  <c r="S72" i="1"/>
  <c r="BA72" i="1" l="1"/>
  <c r="S73" i="1"/>
  <c r="BA73" i="1" l="1"/>
  <c r="S74" i="1"/>
  <c r="BA74" i="1" l="1"/>
  <c r="S75" i="1"/>
  <c r="BA75" i="1" l="1"/>
  <c r="S76" i="1"/>
  <c r="BA76" i="1" l="1"/>
  <c r="S77" i="1"/>
  <c r="BA77" i="1" l="1"/>
  <c r="S78" i="1"/>
  <c r="BA78" i="1" l="1"/>
  <c r="S79" i="1"/>
  <c r="BA79" i="1" l="1"/>
  <c r="S80" i="1"/>
  <c r="BA80" i="1" s="1"/>
  <c r="S81" i="1"/>
  <c r="BA81" i="1" l="1"/>
  <c r="S82" i="1"/>
  <c r="BA82" i="1" l="1"/>
  <c r="S83" i="1"/>
  <c r="BA83" i="1" l="1"/>
  <c r="S84" i="1"/>
  <c r="BA84" i="1" l="1"/>
  <c r="S85" i="1"/>
  <c r="BA85" i="1" l="1"/>
  <c r="S86" i="1"/>
  <c r="BA86" i="1" l="1"/>
  <c r="S87" i="1"/>
  <c r="BA87" i="1" l="1"/>
  <c r="S88" i="1"/>
  <c r="BA88" i="1" l="1"/>
  <c r="S89" i="1"/>
  <c r="BA89" i="1" l="1"/>
  <c r="S90" i="1"/>
  <c r="BA90" i="1" l="1"/>
  <c r="S91" i="1"/>
  <c r="BA91" i="1" l="1"/>
  <c r="S92" i="1"/>
  <c r="BA92" i="1" l="1"/>
  <c r="S93" i="1"/>
  <c r="BA93" i="1" l="1"/>
  <c r="S94" i="1"/>
  <c r="BA94" i="1" l="1"/>
  <c r="S95" i="1"/>
  <c r="BA95" i="1" l="1"/>
  <c r="S96" i="1"/>
  <c r="BA96" i="1" l="1"/>
  <c r="S97" i="1"/>
  <c r="BA97" i="1" l="1"/>
  <c r="S98" i="1"/>
  <c r="BA98" i="1" l="1"/>
  <c r="S99" i="1"/>
  <c r="BA99" i="1" l="1"/>
  <c r="S100" i="1"/>
  <c r="BA100" i="1" l="1"/>
  <c r="S101" i="1"/>
  <c r="BA101" i="1" l="1"/>
  <c r="S102" i="1"/>
  <c r="BA102" i="1" l="1"/>
  <c r="S103" i="1"/>
  <c r="BA103" i="1" l="1"/>
  <c r="S104" i="1"/>
  <c r="BA104" i="1" l="1"/>
  <c r="S105" i="1"/>
  <c r="BA105" i="1" s="1"/>
</calcChain>
</file>

<file path=xl/sharedStrings.xml><?xml version="1.0" encoding="utf-8"?>
<sst xmlns="http://schemas.openxmlformats.org/spreadsheetml/2006/main" count="1287" uniqueCount="510">
  <si>
    <t>wingspan</t>
  </si>
  <si>
    <t>height</t>
  </si>
  <si>
    <t>height (in)</t>
  </si>
  <si>
    <t>wingspan (in)</t>
  </si>
  <si>
    <t>reach</t>
  </si>
  <si>
    <t>reach (in)</t>
  </si>
  <si>
    <t>Ape</t>
  </si>
  <si>
    <t>grade</t>
  </si>
  <si>
    <t>name</t>
  </si>
  <si>
    <t>espn</t>
  </si>
  <si>
    <t>me</t>
  </si>
  <si>
    <t>position</t>
  </si>
  <si>
    <t>C</t>
  </si>
  <si>
    <t>PF</t>
  </si>
  <si>
    <t>SF</t>
  </si>
  <si>
    <t>PG</t>
  </si>
  <si>
    <t>SG</t>
  </si>
  <si>
    <t>school</t>
  </si>
  <si>
    <t>Grade</t>
  </si>
  <si>
    <t>Freshman</t>
  </si>
  <si>
    <t>birthday</t>
  </si>
  <si>
    <t>Florida State</t>
  </si>
  <si>
    <t>POS</t>
  </si>
  <si>
    <t>BODY FAT %</t>
  </si>
  <si>
    <t>HAND LENGTH (INCHES)</t>
  </si>
  <si>
    <t>HAND WIDTH (INCHES)</t>
  </si>
  <si>
    <t>HEIGHT W/O SHOES</t>
  </si>
  <si>
    <t>HEIGHT W/ SHOES</t>
  </si>
  <si>
    <t>STANDING REACH</t>
  </si>
  <si>
    <t>WEIGHT (LBS)</t>
  </si>
  <si>
    <t>WINGSPAN</t>
  </si>
  <si>
    <t>-</t>
  </si>
  <si>
    <t>nba_link</t>
  </si>
  <si>
    <t>ref_link</t>
  </si>
  <si>
    <t>ringer</t>
  </si>
  <si>
    <t>++</t>
  </si>
  <si>
    <t>+</t>
  </si>
  <si>
    <t>--</t>
  </si>
  <si>
    <t>Ape Formula</t>
  </si>
  <si>
    <t>weight</t>
  </si>
  <si>
    <t>Pick</t>
  </si>
  <si>
    <t>Player</t>
  </si>
  <si>
    <t>Team</t>
  </si>
  <si>
    <t>Board</t>
  </si>
  <si>
    <t>Tier</t>
  </si>
  <si>
    <t>Pos</t>
  </si>
  <si>
    <t>pick</t>
  </si>
  <si>
    <t>team</t>
  </si>
  <si>
    <t>Value2</t>
  </si>
  <si>
    <t>Johnny Juzang</t>
  </si>
  <si>
    <t>Julian Champagnie</t>
  </si>
  <si>
    <t>SG-SF</t>
  </si>
  <si>
    <t>Ochai Agbaji</t>
  </si>
  <si>
    <t>Matthew Mayer</t>
  </si>
  <si>
    <t>nbadraft_link</t>
  </si>
  <si>
    <t>hollinger</t>
  </si>
  <si>
    <t>zamir_tier</t>
  </si>
  <si>
    <t>zamir_rank</t>
  </si>
  <si>
    <t>Dean_tier</t>
  </si>
  <si>
    <t>Dean_rank</t>
  </si>
  <si>
    <t>agg</t>
  </si>
  <si>
    <t>vec_tier</t>
  </si>
  <si>
    <t>vec_rank</t>
  </si>
  <si>
    <t>Gonzaga</t>
  </si>
  <si>
    <t>G League Ignite</t>
  </si>
  <si>
    <t>Michigan</t>
  </si>
  <si>
    <t>Sophomore</t>
  </si>
  <si>
    <t>Arkansas</t>
  </si>
  <si>
    <t>Connecticut</t>
  </si>
  <si>
    <t>Duke</t>
  </si>
  <si>
    <t>Tennessee</t>
  </si>
  <si>
    <t>Baylor</t>
  </si>
  <si>
    <t>Junior</t>
  </si>
  <si>
    <t>Senior</t>
  </si>
  <si>
    <t>Auburn</t>
  </si>
  <si>
    <t>Kentucky</t>
  </si>
  <si>
    <t>LSU</t>
  </si>
  <si>
    <t>Alabama</t>
  </si>
  <si>
    <t>Illinois</t>
  </si>
  <si>
    <t>Iowa</t>
  </si>
  <si>
    <t>Michigan State</t>
  </si>
  <si>
    <t>Paris Basketball</t>
  </si>
  <si>
    <t>Colorado</t>
  </si>
  <si>
    <t>notes</t>
  </si>
  <si>
    <t>agg_rank</t>
  </si>
  <si>
    <t>UCLA</t>
  </si>
  <si>
    <t>Ohio State</t>
  </si>
  <si>
    <t>DET</t>
  </si>
  <si>
    <t>HOU</t>
  </si>
  <si>
    <t>CLE</t>
  </si>
  <si>
    <t>TOR</t>
  </si>
  <si>
    <t>ORL</t>
  </si>
  <si>
    <t>OKC</t>
  </si>
  <si>
    <t>GSW</t>
  </si>
  <si>
    <t>SAC</t>
  </si>
  <si>
    <t>MEM</t>
  </si>
  <si>
    <t>CHA</t>
  </si>
  <si>
    <t>SAS</t>
  </si>
  <si>
    <t>IND</t>
  </si>
  <si>
    <t>WAS</t>
  </si>
  <si>
    <t>ATL</t>
  </si>
  <si>
    <t>LAC</t>
  </si>
  <si>
    <t>NYK</t>
  </si>
  <si>
    <t>DEN</t>
  </si>
  <si>
    <t>NOP</t>
  </si>
  <si>
    <t>CHI</t>
  </si>
  <si>
    <t>POR</t>
  </si>
  <si>
    <t>BOS</t>
  </si>
  <si>
    <t>MIL</t>
  </si>
  <si>
    <t>PLAYER (https://www.nba.com/stats/draft/combine-anthro/?sort=STANDING_REACH&amp;dir=1&amp;SeasonYear=2022-23 and https://nbadraft.theringer.com/)</t>
  </si>
  <si>
    <t>Mark Williams</t>
  </si>
  <si>
    <t>7' 0.00''</t>
  </si>
  <si>
    <t>7' 2.00''</t>
  </si>
  <si>
    <t>9' 9.00''</t>
  </si>
  <si>
    <t>7' 6.50''</t>
  </si>
  <si>
    <t>Walker Kessler</t>
  </si>
  <si>
    <t>7' 0.25''</t>
  </si>
  <si>
    <t>7' 1.00''</t>
  </si>
  <si>
    <t>9' 5.00''</t>
  </si>
  <si>
    <t>7' 4.25''</t>
  </si>
  <si>
    <t>Christian Koloko</t>
  </si>
  <si>
    <t>6' 10.75''</t>
  </si>
  <si>
    <t>7' 5.25''</t>
  </si>
  <si>
    <t>John Butler Jr.</t>
  </si>
  <si>
    <t>6' 11.75''</t>
  </si>
  <si>
    <t>7' 0.75''</t>
  </si>
  <si>
    <t>9' 4.00''</t>
  </si>
  <si>
    <t>7' 2.25''</t>
  </si>
  <si>
    <t>Orlando Robinson</t>
  </si>
  <si>
    <t>6' 9.75''</t>
  </si>
  <si>
    <t>6' 11.00''</t>
  </si>
  <si>
    <t>9' 3.00''</t>
  </si>
  <si>
    <t>7' 4.00''</t>
  </si>
  <si>
    <t>Patrick Baldwin Jr.</t>
  </si>
  <si>
    <t>6' 9.25''</t>
  </si>
  <si>
    <t>6' 10.25''</t>
  </si>
  <si>
    <t>9' 2.50''</t>
  </si>
  <si>
    <t>7' 1.75''</t>
  </si>
  <si>
    <t>Kofi Cockburn</t>
  </si>
  <si>
    <t>Moussa Diabate</t>
  </si>
  <si>
    <t>9' 1.50''</t>
  </si>
  <si>
    <t>7' 2.50''</t>
  </si>
  <si>
    <t>Michael Foster Jr.</t>
  </si>
  <si>
    <t>6' 7.75''</t>
  </si>
  <si>
    <t>Dominick Barlow</t>
  </si>
  <si>
    <t>6' 8.75''</t>
  </si>
  <si>
    <t>9' 0.50''</t>
  </si>
  <si>
    <t>7' 3.00''</t>
  </si>
  <si>
    <t>Nikola Jovic</t>
  </si>
  <si>
    <t>6' 9.50''</t>
  </si>
  <si>
    <t>Jaylin Williams</t>
  </si>
  <si>
    <t>6' 10.00''</t>
  </si>
  <si>
    <t>Trevion Williams</t>
  </si>
  <si>
    <t>6' 7.25''</t>
  </si>
  <si>
    <t>7' 2.75''</t>
  </si>
  <si>
    <t>Tari Eason</t>
  </si>
  <si>
    <t>6' 6.75''</t>
  </si>
  <si>
    <t>6' 8.00''</t>
  </si>
  <si>
    <t>8' 11.50''</t>
  </si>
  <si>
    <t>Drew Timme</t>
  </si>
  <si>
    <t>6' 8.25''</t>
  </si>
  <si>
    <t>Peyton Watson</t>
  </si>
  <si>
    <t>7' 0.50''</t>
  </si>
  <si>
    <t>6' 6.25''</t>
  </si>
  <si>
    <t>8' 11.00''</t>
  </si>
  <si>
    <t>Leonard Miller</t>
  </si>
  <si>
    <t>6' 8.50''</t>
  </si>
  <si>
    <t>8' 10.50''</t>
  </si>
  <si>
    <t>MarJon Beauchamp</t>
  </si>
  <si>
    <t>6' 5.25''</t>
  </si>
  <si>
    <t>6' 6.50''</t>
  </si>
  <si>
    <t>8' 10.00''</t>
  </si>
  <si>
    <t>Gabriele Procida</t>
  </si>
  <si>
    <t>6' 5.75''</t>
  </si>
  <si>
    <t>Dalen Terry</t>
  </si>
  <si>
    <t>6' 6.00''</t>
  </si>
  <si>
    <t>Ron Harper Jr.</t>
  </si>
  <si>
    <t>6' 4.00''</t>
  </si>
  <si>
    <t>6' 5.50''</t>
  </si>
  <si>
    <t>8' 9.50''</t>
  </si>
  <si>
    <t>7' 1.25''</t>
  </si>
  <si>
    <t>Justin Lewis</t>
  </si>
  <si>
    <t>6' 7.50''</t>
  </si>
  <si>
    <t>Jalen Williams</t>
  </si>
  <si>
    <t>6' 4.50''</t>
  </si>
  <si>
    <t>Dyson Daniels</t>
  </si>
  <si>
    <t>8' 9.00''</t>
  </si>
  <si>
    <t>6' 10.50''</t>
  </si>
  <si>
    <t>David Roddy</t>
  </si>
  <si>
    <t>6' 11.50''</t>
  </si>
  <si>
    <t>Jabari Walker</t>
  </si>
  <si>
    <t>Julian Strawther</t>
  </si>
  <si>
    <t>6' 7.00''</t>
  </si>
  <si>
    <t>8' 8.50''</t>
  </si>
  <si>
    <t>8' 8.00''</t>
  </si>
  <si>
    <t>Jake LaRavia</t>
  </si>
  <si>
    <t>Bennedict Mathurin</t>
  </si>
  <si>
    <t>6' 9.00''</t>
  </si>
  <si>
    <t>Aminu Mohammed</t>
  </si>
  <si>
    <t>6' 3.50''</t>
  </si>
  <si>
    <t>6' 5.00''</t>
  </si>
  <si>
    <t>Johnny Davis</t>
  </si>
  <si>
    <t>6' 4.25''</t>
  </si>
  <si>
    <t>8' 7.50''</t>
  </si>
  <si>
    <t>Harrison Ingram</t>
  </si>
  <si>
    <t>E.J. Liddell</t>
  </si>
  <si>
    <t>Bryce McGowens</t>
  </si>
  <si>
    <t>Dereon Seabron</t>
  </si>
  <si>
    <t>6' 4.75''</t>
  </si>
  <si>
    <t>Shaedon Sharpe</t>
  </si>
  <si>
    <t>Kendall Brown</t>
  </si>
  <si>
    <t>8' 7.00''</t>
  </si>
  <si>
    <t>Blake Wesley</t>
  </si>
  <si>
    <t>6' 3.00''</t>
  </si>
  <si>
    <t>Malaki Branham</t>
  </si>
  <si>
    <t>8' 6.50''</t>
  </si>
  <si>
    <t>Max Christie</t>
  </si>
  <si>
    <t>Hugo Besson</t>
  </si>
  <si>
    <t>8' 6.00''</t>
  </si>
  <si>
    <t>Keon Ellis</t>
  </si>
  <si>
    <t>Matteo Spagnolo</t>
  </si>
  <si>
    <t>Alondes Williams</t>
  </si>
  <si>
    <t>6' 3.75''</t>
  </si>
  <si>
    <t>Trevor Keels</t>
  </si>
  <si>
    <t>6' 3.25''</t>
  </si>
  <si>
    <t>8' 5.00''</t>
  </si>
  <si>
    <t>Iverson Molinar</t>
  </si>
  <si>
    <t>6' 2.25''</t>
  </si>
  <si>
    <t>Wendell Moore</t>
  </si>
  <si>
    <t>Ryan Rollins</t>
  </si>
  <si>
    <t>6' 2.00''</t>
  </si>
  <si>
    <t>8' 4.50''</t>
  </si>
  <si>
    <t>Christian Braun</t>
  </si>
  <si>
    <t>8' 3.50''</t>
  </si>
  <si>
    <t>JD Davison</t>
  </si>
  <si>
    <t>6' 0.50''</t>
  </si>
  <si>
    <t>6' 2.50''</t>
  </si>
  <si>
    <t>Andrew Nembhard</t>
  </si>
  <si>
    <t>8' 3.00''</t>
  </si>
  <si>
    <t>Jean Montero</t>
  </si>
  <si>
    <t>6' 1.00''</t>
  </si>
  <si>
    <t>8' 2.50''</t>
  </si>
  <si>
    <t>Collin Gillespie</t>
  </si>
  <si>
    <t>6' 1.50''</t>
  </si>
  <si>
    <t>6' 2.75''</t>
  </si>
  <si>
    <t>8' 2.00''</t>
  </si>
  <si>
    <t>Terquavion Smith</t>
  </si>
  <si>
    <t>Kennedy Chandler</t>
  </si>
  <si>
    <t>5' 11.50''</t>
  </si>
  <si>
    <t>8' 1.00''</t>
  </si>
  <si>
    <t>Scotty Pippen Jr.</t>
  </si>
  <si>
    <t>6' 0.00''</t>
  </si>
  <si>
    <t>7' 11.50''</t>
  </si>
  <si>
    <t>Fanbo Zeng</t>
  </si>
  <si>
    <t>SF-PF</t>
  </si>
  <si>
    <t>-%</t>
  </si>
  <si>
    <t>Jalen Wilson</t>
  </si>
  <si>
    <t>Bryson Williams</t>
  </si>
  <si>
    <t>PF-C</t>
  </si>
  <si>
    <t>Jeremy Sochan</t>
  </si>
  <si>
    <t>Jabari Smith</t>
  </si>
  <si>
    <t>Marcus Sasser</t>
  </si>
  <si>
    <t>Jared Rhoden</t>
  </si>
  <si>
    <t>Keegan Murray</t>
  </si>
  <si>
    <t>Tyrese Martin</t>
  </si>
  <si>
    <t>Kenneth Lofton Jr.</t>
  </si>
  <si>
    <t>Ismael Kamagate</t>
  </si>
  <si>
    <t>Trayce Jackson-Davis</t>
  </si>
  <si>
    <t>Jaden Ivey</t>
  </si>
  <si>
    <t>Chet Holmgren</t>
  </si>
  <si>
    <t>Jaden Hardy</t>
  </si>
  <si>
    <t>AJ Griffin</t>
  </si>
  <si>
    <t>Jalen Duren</t>
  </si>
  <si>
    <t>Khalifa Diop</t>
  </si>
  <si>
    <t>Ousmane Dieng</t>
  </si>
  <si>
    <t>Darius Days</t>
  </si>
  <si>
    <t>Paolo Banchero</t>
  </si>
  <si>
    <t>hol_tier</t>
  </si>
  <si>
    <t>6' 10''</t>
  </si>
  <si>
    <t>rcsi</t>
  </si>
  <si>
    <t>https://www.sports-reference.com/cbb/players/jabari-smith-2.html</t>
  </si>
  <si>
    <t>7' 0''</t>
  </si>
  <si>
    <t>https://basketball.realgm.com/player/Shaedon-Sharpe/Summary/150554</t>
  </si>
  <si>
    <t>Purdue</t>
  </si>
  <si>
    <t>6' 4''</t>
  </si>
  <si>
    <t>6' 8''</t>
  </si>
  <si>
    <t>https://www.basketball-reference.com/players/d/daniedy01.html</t>
  </si>
  <si>
    <t>Arizona</t>
  </si>
  <si>
    <t>https://www.basketball-reference.com/international/players/ousmane-dieng-1.html</t>
  </si>
  <si>
    <t>6' 6''</t>
  </si>
  <si>
    <t>https://www.nba.com/draft/2022/prospects/a-j-griffin</t>
  </si>
  <si>
    <t>6' 9''</t>
  </si>
  <si>
    <t>6' 11''</t>
  </si>
  <si>
    <t>7' 1''</t>
  </si>
  <si>
    <t>Memphis</t>
  </si>
  <si>
    <t>Wisconsin</t>
  </si>
  <si>
    <t>https://www.sports-reference.com/cbb/players/jonathan-davis-3.html</t>
  </si>
  <si>
    <t>https://www.sports-reference.com/cbb/players/mark-williams-7.html</t>
  </si>
  <si>
    <t>Kansas</t>
  </si>
  <si>
    <t>Santa Clara</t>
  </si>
  <si>
    <t>https://www.sports-reference.com/cbb/players/jalen-williams-13.html</t>
  </si>
  <si>
    <t>https://www.sports-reference.com/cbb/players/ej-liddell-1.html</t>
  </si>
  <si>
    <t>https://www.nba.com/draft/2022/prospects/ej-liddell</t>
  </si>
  <si>
    <t>https://www.nbadraft.net/players/ej-liddell/</t>
  </si>
  <si>
    <t>https://www.basketball-reference.com/gleague/players/h/hardyja01d.html</t>
  </si>
  <si>
    <t>TyTy Washington</t>
  </si>
  <si>
    <t>https://www.sports-reference.com/cbb/players/tyty-washingtonjr-1.html</t>
  </si>
  <si>
    <t>Mega Mozzart</t>
  </si>
  <si>
    <t>Notre Dame</t>
  </si>
  <si>
    <t>Nebraska</t>
  </si>
  <si>
    <t>https://www.basketball-reference.com/gleague/players/b/beaucma01d.html</t>
  </si>
  <si>
    <t>Wake Forest</t>
  </si>
  <si>
    <t>Milwaukee</t>
  </si>
  <si>
    <t>https://www.sports-reference.com/cbb/players/patrick-baldwinjr-1.html</t>
  </si>
  <si>
    <t>https://www.nbadraft.net/players/patrick-baldwin/</t>
  </si>
  <si>
    <t>https://www.nba.com/draft/2022/prospects/patrick-baldwin</t>
  </si>
  <si>
    <t>https://www.sports-reference.com/cbb/players/wendell-moorejr-1.html</t>
  </si>
  <si>
    <t>Overtime Elite</t>
  </si>
  <si>
    <t>Colorado State</t>
  </si>
  <si>
    <t>New Zeland Breakers</t>
  </si>
  <si>
    <t>Josh Minott</t>
  </si>
  <si>
    <t>Toledo</t>
  </si>
  <si>
    <t>Marquette</t>
  </si>
  <si>
    <t>St. John's</t>
  </si>
  <si>
    <t>NC State</t>
  </si>
  <si>
    <t>Fortitudo Bologno</t>
  </si>
  <si>
    <t>Louisiana Tech</t>
  </si>
  <si>
    <t>6' 7''</t>
  </si>
  <si>
    <t>https://www.sports-reference.com/cbb/players/kenneth-loftonjr-1.html</t>
  </si>
  <si>
    <t>https://www.nbadraft.net/players/kenneth-lofton/</t>
  </si>
  <si>
    <t>Ziga Samar</t>
  </si>
  <si>
    <t>SG-PG</t>
  </si>
  <si>
    <t>Fuenlabrada</t>
  </si>
  <si>
    <t>https://www.nba.com/draft/2022/prospects/john-butler</t>
  </si>
  <si>
    <t>https://www.nbadraft.net/players/john-butler/</t>
  </si>
  <si>
    <t>https://www.sports-reference.com/cbb/players/john-butler-2.html</t>
  </si>
  <si>
    <t>Caleb Houstan</t>
  </si>
  <si>
    <t>https://www.sports-reference.com/cbb/players/jaylin-williams-2.html</t>
  </si>
  <si>
    <t>Luke Travers</t>
  </si>
  <si>
    <t>Perth Wildcats</t>
  </si>
  <si>
    <t>https://basketball.realgm.com/player/Dominick-Barlow/Summary/180398</t>
  </si>
  <si>
    <t>Vanoli Cremona</t>
  </si>
  <si>
    <t>Jamaree Bouyea</t>
  </si>
  <si>
    <t>San Francisco</t>
  </si>
  <si>
    <t>Mississippi State</t>
  </si>
  <si>
    <t>Isaiah Mobley</t>
  </si>
  <si>
    <t>UCS</t>
  </si>
  <si>
    <t>Georgetown</t>
  </si>
  <si>
    <t>Tevin Brown</t>
  </si>
  <si>
    <t>Murray State</t>
  </si>
  <si>
    <t>Davidson</t>
  </si>
  <si>
    <t>Hyunjung Lee</t>
  </si>
  <si>
    <t>6' 5''</t>
  </si>
  <si>
    <t>Jordan Hall</t>
  </si>
  <si>
    <t>St. Joseph's</t>
  </si>
  <si>
    <t>Grayson Murphy</t>
  </si>
  <si>
    <t>Belmont</t>
  </si>
  <si>
    <t>Vanderbilt</t>
  </si>
  <si>
    <t>https://www.nba.com/draft/2022/prospects/scotty-pippen-jr</t>
  </si>
  <si>
    <t>https://www.sports-reference.com/cbb/players/scotty-pippenjr-1.html</t>
  </si>
  <si>
    <t>6' 3''</t>
  </si>
  <si>
    <t>https://www.nba.com/draft/2022/prospects/michael-foster</t>
  </si>
  <si>
    <t>https://www.basketball-reference.com/gleague/players/f/fostemi01d.html</t>
  </si>
  <si>
    <t>https://www.nbadraft.net/players/michael-foster/</t>
  </si>
  <si>
    <t>Justin Bean</t>
  </si>
  <si>
    <t>Utah State</t>
  </si>
  <si>
    <t>Fresno State</t>
  </si>
  <si>
    <t>Texas Tech</t>
  </si>
  <si>
    <t>Miami</t>
  </si>
  <si>
    <t>Kameron McGusty</t>
  </si>
  <si>
    <t>Yannick Nzosa</t>
  </si>
  <si>
    <t>Karlo Matkovic</t>
  </si>
  <si>
    <t>Gui Santos</t>
  </si>
  <si>
    <t>Vince Williams Jr.</t>
  </si>
  <si>
    <t>Brady Manek</t>
  </si>
  <si>
    <t>Gabe Brown</t>
  </si>
  <si>
    <t>James Akinjo</t>
  </si>
  <si>
    <t>Quenton Jackson</t>
  </si>
  <si>
    <t>Jules Bernard</t>
  </si>
  <si>
    <t>Izaiah Brockington</t>
  </si>
  <si>
    <t>Giordano Bortolani</t>
  </si>
  <si>
    <t>Makur Maker</t>
  </si>
  <si>
    <t>Buddy Boeheim</t>
  </si>
  <si>
    <t>AJ Green</t>
  </si>
  <si>
    <t>7' 5''</t>
  </si>
  <si>
    <t>age</t>
  </si>
  <si>
    <t>defensive impact, shooting</t>
  </si>
  <si>
    <t>size, offensive creation, rim attacking</t>
  </si>
  <si>
    <t>passing</t>
  </si>
  <si>
    <t>shooting</t>
  </si>
  <si>
    <t>age, height, perimeter and on-ball defensive given size</t>
  </si>
  <si>
    <t>ball handling, passing, offensive creation, interior defense</t>
  </si>
  <si>
    <t>probably won't be a primary creator, but his size+shooting is a great combination for a secondary threat, with defensive upside to boot</t>
  </si>
  <si>
    <t>age, frame</t>
  </si>
  <si>
    <t>rim protection, fluidity</t>
  </si>
  <si>
    <t>shooting, off-ball abilities (both sides)</t>
  </si>
  <si>
    <t>on-ball defense</t>
  </si>
  <si>
    <t>for a player with such obvious strengths and weaknesses, it's difficult to determine what type of impact Holmgren will have given his uniqueness</t>
  </si>
  <si>
    <t>athleticism, shot creation</t>
  </si>
  <si>
    <t>decision making, defensive motor, offensive creation</t>
  </si>
  <si>
    <t>dribble penetration</t>
  </si>
  <si>
    <t>production, unknowns</t>
  </si>
  <si>
    <t>athleticism</t>
  </si>
  <si>
    <t>age, frame, shooting, shot creation</t>
  </si>
  <si>
    <t>age, shooting, size, athleticism</t>
  </si>
  <si>
    <t>defensive (not a true negative, but not enough of a positive to be an ideal 3+D guy), offensive creation</t>
  </si>
  <si>
    <t>safe bet to be an NBA contributor, but may fit better as a secondary wing on both sides of the ball</t>
  </si>
  <si>
    <t>offensive production</t>
  </si>
  <si>
    <t>motor, positioning</t>
  </si>
  <si>
    <t>high level scorer against non-elite competition. High floor as rotational player who should be able to score against second units at the very least. Also he looks a lot like Brandon Clarke, and maybe plays a little like him</t>
  </si>
  <si>
    <t>enegy, defense</t>
  </si>
  <si>
    <t>rim attacking</t>
  </si>
  <si>
    <t>wildness, fouling, shooting, age</t>
  </si>
  <si>
    <t>tothemean</t>
  </si>
  <si>
    <t>pelton</t>
  </si>
  <si>
    <t>count</t>
  </si>
  <si>
    <t>max</t>
  </si>
  <si>
    <t>models_agg_rnk</t>
  </si>
  <si>
    <t>scouting_agg_rnk</t>
  </si>
  <si>
    <t>type</t>
  </si>
  <si>
    <t>scouting</t>
  </si>
  <si>
    <t>model</t>
  </si>
  <si>
    <t>upside of a big wing who can be a primary offensive creator (arguably the most valuable archtype in the sport)</t>
  </si>
  <si>
    <t>bigwafe</t>
  </si>
  <si>
    <t>evidenceforZ</t>
  </si>
  <si>
    <t>David Sajdak</t>
  </si>
  <si>
    <t>phreak athlete, but best role is likely a volume scoring 6th man, which isn't a great archtype to chase. That said, his 99th percentile upside of a primary offensive engine is one of the highest in the draft</t>
  </si>
  <si>
    <t>at his best, he may have the highest offensive upside in the class, but the chances of reaching that upside are low enough and with a myriad of warts that he misses out on the 55 FV tier, while his monster upside keeps him above the 50 FV tier. Easily the most difficult player to rank from the outside.</t>
  </si>
  <si>
    <t>basketball IQ, on-ball defense</t>
  </si>
  <si>
    <t>ball-handling, passing</t>
  </si>
  <si>
    <t>shooting, athleticism</t>
  </si>
  <si>
    <t xml:space="preserve">high floor player based on passing, defense, and feel for the game, but still has untapped upside if the shooting improves </t>
  </si>
  <si>
    <t>defensive versatility</t>
  </si>
  <si>
    <t>playmaking</t>
  </si>
  <si>
    <t>age, size, motor</t>
  </si>
  <si>
    <t>best defensive wing in the draft, but a dicey offensive projection</t>
  </si>
  <si>
    <t>high energy wing with a defense first mindset, but plays a little out of control and is older than the other wings in this tier</t>
  </si>
  <si>
    <t>size, shooting</t>
  </si>
  <si>
    <t>injury concerns, defense</t>
  </si>
  <si>
    <t>has the dimensions of a good defender but has yet to play like it; has performed well offensively, but shot doesn't fill the eye test that well</t>
  </si>
  <si>
    <t>interior defense, interior offense, athleticism, length</t>
  </si>
  <si>
    <t>rawness, offensive potential, basketball IQ</t>
  </si>
  <si>
    <t>rim runner/defensive anchor starter kit, but needs development to maximize that role</t>
  </si>
  <si>
    <t>offensive upside</t>
  </si>
  <si>
    <t>interior finishing, rim protection</t>
  </si>
  <si>
    <t>size</t>
  </si>
  <si>
    <t>safe bet to be a rotational big for a number of years, but doesn't have true defensive anchor upside, and probably won't be more than a roll man offensively</t>
  </si>
  <si>
    <t>age, size, secondary ball handling, defensive versatility</t>
  </si>
  <si>
    <t>shooting, high level impact</t>
  </si>
  <si>
    <t>profiles as a versatile wing who can guard multiple positions and act as a secondary ball handler, his upside will ultimately be determined by his shooting</t>
  </si>
  <si>
    <t>age, size, shooting</t>
  </si>
  <si>
    <t>playmaking, dribble penetration, forcing turnovers, vertical athleticism</t>
  </si>
  <si>
    <t>energy, offensive creation</t>
  </si>
  <si>
    <t>size, athleticism, shooting</t>
  </si>
  <si>
    <t>rim protection, interior defense</t>
  </si>
  <si>
    <t>athleticism, offensive role</t>
  </si>
  <si>
    <t>size, basketball IQ</t>
  </si>
  <si>
    <t>has potential of a true regular season defensive anchor, and his mobility/brain should be enough to at least hold up in playoffs. The lack of an offensive role as he's not a shooting threat, rim runner, or low post threat caps his upside</t>
  </si>
  <si>
    <t>scoring</t>
  </si>
  <si>
    <t>age, size</t>
  </si>
  <si>
    <t>defense</t>
  </si>
  <si>
    <t>shooting, playmaking, rim finishing</t>
  </si>
  <si>
    <t xml:space="preserve">for a player who plays in a score-first fashion, his best skills seem to be defensively where he can use his length and athleticism to generate turnovers and play in transition </t>
  </si>
  <si>
    <t>perimeter defense, ball handling, scoring</t>
  </si>
  <si>
    <t>age, size, perimeter defensive versatility, passing</t>
  </si>
  <si>
    <t>wingspan, shot creation, vertical athleticism, 3rd or 4th option offensively</t>
  </si>
  <si>
    <t>versatile defender who should be able to do enough secondary things offensively to be a high end role player as a big wing</t>
  </si>
  <si>
    <t>length</t>
  </si>
  <si>
    <t>strength, production</t>
  </si>
  <si>
    <t>producing net positive results as a young freshman against strong major NCAA competition is a great start, but question marks arise when his limited athleticism is put to the test even more by bigger and faster NBA players. A strong strength program could do wonders</t>
  </si>
  <si>
    <t>production, length</t>
  </si>
  <si>
    <t>age, size, athleticism</t>
  </si>
  <si>
    <t>production, shooting</t>
  </si>
  <si>
    <t>age, ball handling</t>
  </si>
  <si>
    <t>production across the board</t>
  </si>
  <si>
    <t>lots of question marks, terrible production in NBL, but the youth+ideal wing dimensions+ball handling abilities are a great starting point for a prospect. He will be a big project</t>
  </si>
  <si>
    <t>currently profiles more as a 3rd guard, but his PG skills keep upside plays in tact given his length and scoring efficiency</t>
  </si>
  <si>
    <t>size, strength, basketball IQ</t>
  </si>
  <si>
    <t>ballhandling, lateral athleticism</t>
  </si>
  <si>
    <t>height, lateral athleticism</t>
  </si>
  <si>
    <t>strength, wingspan, basketball IQ</t>
  </si>
  <si>
    <t>shooting, strength</t>
  </si>
  <si>
    <t>vertical athleticism, size, rebounding, on-ball defense</t>
  </si>
  <si>
    <t>size, secondary ballhandling</t>
  </si>
  <si>
    <t>age, passing, basketball IQ</t>
  </si>
  <si>
    <t>size, athleticism</t>
  </si>
  <si>
    <t>rawness, athleticism</t>
  </si>
  <si>
    <t>age, ball handling, size, shooting/passing potential</t>
  </si>
  <si>
    <t>athleticism, shot selection, defense</t>
  </si>
  <si>
    <t>age, passing, defensive versatility</t>
  </si>
  <si>
    <t>rim protection, athleticism, shooting/passing potential</t>
  </si>
  <si>
    <t>age, strength, rawness</t>
  </si>
  <si>
    <t>wingspan, defensive versatility</t>
  </si>
  <si>
    <t>athleticism, playmaking</t>
  </si>
  <si>
    <t>shooting, carelessness</t>
  </si>
  <si>
    <t>age, size, wingspan, athleticism</t>
  </si>
  <si>
    <t>offensive passivity, defensive discipline</t>
  </si>
  <si>
    <t>age, impact</t>
  </si>
  <si>
    <t>Unicaja</t>
  </si>
  <si>
    <t>Rutgers</t>
  </si>
  <si>
    <t>Mega Basket</t>
  </si>
  <si>
    <t>Gran Canaria</t>
  </si>
  <si>
    <t>Minas</t>
  </si>
  <si>
    <t>craftedNBA</t>
  </si>
  <si>
    <t>MIN</t>
  </si>
  <si>
    <t>Marjon Beauchamp</t>
  </si>
  <si>
    <t>MIA</t>
  </si>
  <si>
    <t>LAL</t>
  </si>
  <si>
    <t>DAL</t>
  </si>
  <si>
    <t>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</si>
</sst>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 x14ac:knownFonts="1">
    <font>
      <sz val="12"/>
      <color theme="1"/>
      <name val="Calibri"/>
      <family val="2"/>
      <scheme val="minor"/>
    </font>
    <font>
      <u/>
      <sz val="12"/>
      <color theme="10"/>
      <name val="Calibri"/>
      <family val="2"/>
      <scheme val="minor"/>
    </font>
    <font>
      <sz val="8"/>
      <name val="Verdana"/>
      <family val="2"/>
    </font>
    <font>
      <i/>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10" fontId="0" fillId="0" borderId="0" xfId="0" applyNumberFormat="1"/>
    <xf numFmtId="0" fontId="0" fillId="2" borderId="0" xfId="0" applyFill="1"/>
    <xf numFmtId="0" fontId="0" fillId="0" borderId="0" xfId="0" applyAlignment="1">
      <alignment shrinkToFit="1"/>
    </xf>
    <xf numFmtId="0" fontId="1" fillId="0" borderId="0" xfId="1" applyAlignment="1">
      <alignment shrinkToFit="1"/>
    </xf>
    <xf numFmtId="0" fontId="0" fillId="0" borderId="0" xfId="0" applyNumberFormat="1"/>
    <xf numFmtId="0" fontId="0" fillId="0" borderId="0" xfId="0" quotePrefix="1" applyAlignment="1">
      <alignment shrinkToFit="1"/>
    </xf>
    <xf numFmtId="0" fontId="0" fillId="2" borderId="0" xfId="0" applyFill="1" applyAlignment="1">
      <alignment shrinkToFit="1"/>
    </xf>
    <xf numFmtId="14" fontId="0" fillId="2" borderId="0" xfId="0" applyNumberFormat="1" applyFill="1" applyAlignment="1">
      <alignment shrinkToFit="1"/>
    </xf>
    <xf numFmtId="2" fontId="0" fillId="2" borderId="0" xfId="0" applyNumberFormat="1" applyFill="1" applyAlignment="1">
      <alignment shrinkToFit="1"/>
    </xf>
    <xf numFmtId="164" fontId="0" fillId="0" borderId="0" xfId="0" applyNumberFormat="1" applyFill="1"/>
    <xf numFmtId="165" fontId="0" fillId="2" borderId="0" xfId="0" applyNumberFormat="1" applyFill="1"/>
    <xf numFmtId="2" fontId="0" fillId="0" borderId="0" xfId="0" applyNumberFormat="1" applyFill="1"/>
    <xf numFmtId="1" fontId="0" fillId="0" borderId="0" xfId="0" applyNumberFormat="1" applyFill="1"/>
    <xf numFmtId="0" fontId="0" fillId="0" borderId="0" xfId="0" applyNumberFormat="1" applyFill="1"/>
    <xf numFmtId="0" fontId="0" fillId="0" borderId="0" xfId="0" applyFill="1" applyAlignment="1">
      <alignment shrinkToFit="1"/>
    </xf>
    <xf numFmtId="0" fontId="1" fillId="3" borderId="0" xfId="1" applyFill="1" applyAlignment="1">
      <alignment shrinkToFit="1"/>
    </xf>
    <xf numFmtId="0" fontId="1" fillId="2" borderId="0" xfId="1" applyFill="1" applyAlignment="1">
      <alignment shrinkToFit="1"/>
    </xf>
    <xf numFmtId="0" fontId="3" fillId="0" borderId="0" xfId="0" applyFont="1" applyAlignment="1"/>
    <xf numFmtId="2" fontId="0" fillId="0" borderId="0" xfId="0" applyNumberFormat="1" applyAlignment="1">
      <alignment shrinkToFit="1"/>
    </xf>
    <xf numFmtId="2" fontId="0" fillId="0" borderId="0" xfId="0" applyNumberFormat="1" applyFill="1" applyAlignment="1">
      <alignment shrinkToFit="1"/>
    </xf>
  </cellXfs>
  <cellStyles count="2">
    <cellStyle name="Hyperlink" xfId="1" builtinId="8"/>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badraft.net/players/kenneth-lof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5"/>
  <sheetViews>
    <sheetView workbookViewId="0">
      <pane xSplit="2" ySplit="5" topLeftCell="C22" activePane="bottomRight" state="frozen"/>
      <selection pane="topRight" activeCell="C1" sqref="C1"/>
      <selection pane="bottomLeft" activeCell="A2" sqref="A2"/>
      <selection pane="bottomRight" activeCell="T43" sqref="T43"/>
    </sheetView>
  </sheetViews>
  <sheetFormatPr baseColWidth="10" defaultRowHeight="22" customHeight="1" x14ac:dyDescent="0.2"/>
  <cols>
    <col min="1" max="1" width="22.1640625" style="3" bestFit="1" customWidth="1"/>
    <col min="2" max="2" width="10.1640625" style="15" customWidth="1"/>
    <col min="3" max="3" width="17" style="3" customWidth="1"/>
    <col min="4" max="4" width="10.5" style="3" customWidth="1"/>
    <col min="5" max="5" width="6.6640625" style="9" customWidth="1"/>
    <col min="6" max="10" width="6" style="7" customWidth="1"/>
    <col min="11" max="11" width="6" style="9" customWidth="1"/>
    <col min="12" max="15" width="8.33203125" style="3" customWidth="1"/>
    <col min="16" max="16" width="11.1640625" style="3" customWidth="1"/>
    <col min="17" max="17" width="8.33203125" style="19" customWidth="1"/>
    <col min="18" max="18" width="6.33203125" style="3" customWidth="1"/>
    <col min="19" max="19" width="6.33203125" style="7" customWidth="1"/>
    <col min="20" max="20" width="6.83203125" style="7" customWidth="1"/>
    <col min="21" max="21" width="8" style="7" customWidth="1"/>
    <col min="22" max="23" width="21.83203125" style="3" customWidth="1"/>
    <col min="24" max="24" width="27.33203125" style="7" customWidth="1"/>
    <col min="25" max="25" width="10.33203125" style="10" customWidth="1"/>
    <col min="26" max="26" width="10.33203125" style="13" customWidth="1"/>
    <col min="27" max="28" width="10.33203125" style="20" customWidth="1"/>
    <col min="29" max="29" width="10.33203125" style="12" customWidth="1"/>
    <col min="30" max="31" width="10.33203125" style="20" customWidth="1"/>
    <col min="32" max="39" width="10.33203125" style="13" customWidth="1"/>
    <col min="40" max="40" width="7.83203125" style="13" customWidth="1"/>
    <col min="41" max="41" width="10.33203125" style="13" customWidth="1"/>
    <col min="42" max="42" width="8.33203125" style="13" customWidth="1"/>
    <col min="43" max="46" width="7.83203125" style="13" customWidth="1"/>
    <col min="47" max="47" width="7.5" style="13" customWidth="1"/>
    <col min="48" max="48" width="7.83203125" style="13" customWidth="1"/>
    <col min="49" max="50" width="8.83203125" style="2" customWidth="1"/>
    <col min="51" max="51" width="11.5" style="2" customWidth="1"/>
    <col min="52" max="52" width="8.1640625" style="2" customWidth="1"/>
    <col min="53" max="54" width="10.83203125" customWidth="1"/>
  </cols>
  <sheetData>
    <row r="1" spans="1:53" ht="22" customHeight="1" x14ac:dyDescent="0.2">
      <c r="A1" s="18"/>
      <c r="S1" s="9"/>
      <c r="AE1" s="12" t="s">
        <v>415</v>
      </c>
      <c r="AF1" s="13">
        <f t="shared" ref="AF1:AV1" si="0">COUNTA(AF6:AF981)</f>
        <v>76</v>
      </c>
      <c r="AG1" s="13">
        <f t="shared" si="0"/>
        <v>76</v>
      </c>
      <c r="AH1" s="13">
        <f t="shared" si="0"/>
        <v>50</v>
      </c>
      <c r="AI1" s="13">
        <f t="shared" si="0"/>
        <v>29</v>
      </c>
      <c r="AJ1" s="13">
        <f t="shared" si="0"/>
        <v>93</v>
      </c>
      <c r="AK1" s="13">
        <f t="shared" si="0"/>
        <v>91</v>
      </c>
      <c r="AL1" s="13">
        <f t="shared" si="0"/>
        <v>37</v>
      </c>
      <c r="AM1" s="13">
        <f t="shared" ref="AM1" si="1">COUNTA(AM6:AM981)</f>
        <v>0</v>
      </c>
      <c r="AN1" s="13">
        <f t="shared" si="0"/>
        <v>68</v>
      </c>
      <c r="AO1" s="13">
        <f t="shared" si="0"/>
        <v>68</v>
      </c>
      <c r="AP1" s="13">
        <f t="shared" si="0"/>
        <v>70</v>
      </c>
      <c r="AQ1" s="13">
        <f t="shared" si="0"/>
        <v>70</v>
      </c>
      <c r="AR1" s="13">
        <f t="shared" si="0"/>
        <v>38</v>
      </c>
      <c r="AS1" s="13">
        <f t="shared" si="0"/>
        <v>92</v>
      </c>
      <c r="AT1" s="13">
        <f t="shared" si="0"/>
        <v>91</v>
      </c>
      <c r="AU1" s="13">
        <f t="shared" si="0"/>
        <v>97</v>
      </c>
      <c r="AV1" s="13">
        <f t="shared" si="0"/>
        <v>37</v>
      </c>
    </row>
    <row r="2" spans="1:53" ht="22" customHeight="1" x14ac:dyDescent="0.2">
      <c r="A2" s="18"/>
      <c r="S2" s="9"/>
      <c r="AE2" s="12" t="s">
        <v>416</v>
      </c>
      <c r="AF2" s="13">
        <f t="shared" ref="AF2:AV2" si="2">IF(AF5="rcsi", 25, MAX(AF6:AF981))</f>
        <v>76</v>
      </c>
      <c r="AG2" s="13">
        <f t="shared" si="2"/>
        <v>13</v>
      </c>
      <c r="AH2" s="13">
        <f t="shared" si="2"/>
        <v>50</v>
      </c>
      <c r="AI2" s="13">
        <f t="shared" si="2"/>
        <v>30</v>
      </c>
      <c r="AJ2" s="13">
        <f t="shared" si="2"/>
        <v>101</v>
      </c>
      <c r="AK2" s="13">
        <f t="shared" si="2"/>
        <v>100</v>
      </c>
      <c r="AL2" s="13">
        <f t="shared" si="2"/>
        <v>40</v>
      </c>
      <c r="AM2" s="13">
        <f t="shared" ref="AM2" si="3">IF(AM5="rcsi", 25, MAX(AM6:AM981))</f>
        <v>0</v>
      </c>
      <c r="AN2" s="13">
        <f t="shared" si="2"/>
        <v>68</v>
      </c>
      <c r="AO2" s="13">
        <f t="shared" si="2"/>
        <v>5</v>
      </c>
      <c r="AP2" s="13">
        <f t="shared" si="2"/>
        <v>74</v>
      </c>
      <c r="AQ2" s="13">
        <f t="shared" si="2"/>
        <v>6</v>
      </c>
      <c r="AR2" s="13">
        <f t="shared" si="2"/>
        <v>38</v>
      </c>
      <c r="AS2" s="13">
        <f t="shared" si="2"/>
        <v>99</v>
      </c>
      <c r="AT2" s="13">
        <f t="shared" si="2"/>
        <v>7</v>
      </c>
      <c r="AU2" s="13">
        <f t="shared" si="2"/>
        <v>100</v>
      </c>
      <c r="AV2" s="13">
        <f t="shared" si="2"/>
        <v>25</v>
      </c>
    </row>
    <row r="3" spans="1:53" ht="22" customHeight="1" x14ac:dyDescent="0.2">
      <c r="A3" s="18"/>
      <c r="S3" s="9"/>
      <c r="AE3" s="12" t="s">
        <v>39</v>
      </c>
      <c r="AF3" s="13">
        <v>2</v>
      </c>
      <c r="AG3" s="13">
        <v>3</v>
      </c>
      <c r="AH3" s="13">
        <v>4</v>
      </c>
      <c r="AI3" s="13">
        <v>2</v>
      </c>
      <c r="AJ3" s="13">
        <v>3</v>
      </c>
      <c r="AK3" s="13">
        <v>1</v>
      </c>
      <c r="AL3" s="13">
        <v>1</v>
      </c>
      <c r="AM3" s="13">
        <v>1</v>
      </c>
      <c r="AN3" s="13">
        <v>2</v>
      </c>
      <c r="AO3" s="13">
        <v>4</v>
      </c>
      <c r="AP3" s="13">
        <v>2</v>
      </c>
      <c r="AQ3" s="13">
        <v>3</v>
      </c>
      <c r="AR3" s="13">
        <v>2</v>
      </c>
      <c r="AS3" s="13">
        <v>1</v>
      </c>
      <c r="AT3" s="13">
        <v>2</v>
      </c>
      <c r="AU3" s="13">
        <v>1</v>
      </c>
      <c r="AV3" s="13">
        <v>1</v>
      </c>
    </row>
    <row r="4" spans="1:53" ht="22" customHeight="1" x14ac:dyDescent="0.2">
      <c r="A4" s="18"/>
      <c r="S4" s="9"/>
      <c r="AE4" s="20" t="s">
        <v>419</v>
      </c>
      <c r="AF4" s="13" t="s">
        <v>420</v>
      </c>
      <c r="AG4" s="13" t="s">
        <v>420</v>
      </c>
      <c r="AH4" s="13" t="s">
        <v>421</v>
      </c>
      <c r="AI4" s="13" t="s">
        <v>421</v>
      </c>
      <c r="AJ4" s="13" t="s">
        <v>421</v>
      </c>
      <c r="AK4" s="13" t="s">
        <v>421</v>
      </c>
      <c r="AL4" s="13" t="s">
        <v>421</v>
      </c>
      <c r="AM4" s="13" t="s">
        <v>421</v>
      </c>
      <c r="AN4" s="13" t="s">
        <v>420</v>
      </c>
      <c r="AO4" s="13" t="s">
        <v>420</v>
      </c>
      <c r="AP4" s="13" t="s">
        <v>420</v>
      </c>
      <c r="AQ4" s="13" t="s">
        <v>420</v>
      </c>
      <c r="AR4" s="13" t="s">
        <v>420</v>
      </c>
      <c r="AS4" s="13" t="s">
        <v>420</v>
      </c>
      <c r="AT4" s="13" t="s">
        <v>420</v>
      </c>
      <c r="AU4" s="13" t="s">
        <v>420</v>
      </c>
      <c r="AV4" s="13" t="s">
        <v>420</v>
      </c>
    </row>
    <row r="5" spans="1:53" ht="22" customHeight="1" x14ac:dyDescent="0.2">
      <c r="A5" s="15" t="s">
        <v>8</v>
      </c>
      <c r="B5" s="15" t="s">
        <v>11</v>
      </c>
      <c r="C5" s="3" t="s">
        <v>17</v>
      </c>
      <c r="D5" s="3" t="s">
        <v>18</v>
      </c>
      <c r="E5" s="8">
        <v>44735</v>
      </c>
      <c r="F5" s="7" t="s">
        <v>2</v>
      </c>
      <c r="G5" s="7" t="s">
        <v>39</v>
      </c>
      <c r="H5" s="7" t="s">
        <v>3</v>
      </c>
      <c r="I5" s="7" t="s">
        <v>5</v>
      </c>
      <c r="J5" s="7" t="s">
        <v>6</v>
      </c>
      <c r="K5" s="9" t="s">
        <v>38</v>
      </c>
      <c r="L5" s="6" t="s">
        <v>35</v>
      </c>
      <c r="M5" s="6" t="s">
        <v>36</v>
      </c>
      <c r="N5" s="6" t="s">
        <v>31</v>
      </c>
      <c r="O5" s="6" t="s">
        <v>37</v>
      </c>
      <c r="P5" s="6" t="s">
        <v>83</v>
      </c>
      <c r="Q5" s="19" t="s">
        <v>7</v>
      </c>
      <c r="R5" s="3" t="s">
        <v>10</v>
      </c>
      <c r="T5" s="7" t="s">
        <v>46</v>
      </c>
      <c r="U5" s="7" t="s">
        <v>47</v>
      </c>
      <c r="V5" s="3" t="s">
        <v>33</v>
      </c>
      <c r="W5" s="3" t="s">
        <v>54</v>
      </c>
      <c r="X5" s="7" t="s">
        <v>32</v>
      </c>
      <c r="Y5" s="10" t="s">
        <v>20</v>
      </c>
      <c r="Z5" s="13" t="s">
        <v>84</v>
      </c>
      <c r="AA5" s="20" t="s">
        <v>418</v>
      </c>
      <c r="AB5" s="20" t="s">
        <v>417</v>
      </c>
      <c r="AC5" s="12" t="s">
        <v>60</v>
      </c>
      <c r="AD5" s="20" t="s">
        <v>420</v>
      </c>
      <c r="AE5" s="20" t="s">
        <v>421</v>
      </c>
      <c r="AF5" s="13" t="s">
        <v>55</v>
      </c>
      <c r="AG5" s="13" t="s">
        <v>277</v>
      </c>
      <c r="AH5" s="13" t="s">
        <v>413</v>
      </c>
      <c r="AI5" s="13" t="s">
        <v>414</v>
      </c>
      <c r="AJ5" s="13" t="s">
        <v>425</v>
      </c>
      <c r="AK5" s="13" t="s">
        <v>423</v>
      </c>
      <c r="AL5" s="13" t="s">
        <v>424</v>
      </c>
      <c r="AM5" s="13" t="s">
        <v>503</v>
      </c>
      <c r="AN5" s="13" t="s">
        <v>59</v>
      </c>
      <c r="AO5" s="13" t="s">
        <v>58</v>
      </c>
      <c r="AP5" s="13" t="s">
        <v>57</v>
      </c>
      <c r="AQ5" s="13" t="s">
        <v>56</v>
      </c>
      <c r="AR5" s="13" t="s">
        <v>34</v>
      </c>
      <c r="AS5" s="13" t="s">
        <v>62</v>
      </c>
      <c r="AT5" s="13" t="s">
        <v>61</v>
      </c>
      <c r="AU5" s="13" t="s">
        <v>9</v>
      </c>
      <c r="AV5" s="13" t="s">
        <v>279</v>
      </c>
      <c r="AW5" s="2" t="s">
        <v>1</v>
      </c>
      <c r="AX5" s="2" t="s">
        <v>39</v>
      </c>
      <c r="AY5" s="2" t="s">
        <v>0</v>
      </c>
      <c r="AZ5" s="2" t="s">
        <v>4</v>
      </c>
    </row>
    <row r="6" spans="1:53" ht="22" customHeight="1" x14ac:dyDescent="0.2">
      <c r="A6" t="s">
        <v>276</v>
      </c>
      <c r="B6" t="s">
        <v>13</v>
      </c>
      <c r="C6" s="3" t="s">
        <v>69</v>
      </c>
      <c r="D6" s="3" t="s">
        <v>19</v>
      </c>
      <c r="E6" s="9">
        <f t="shared" ref="E6:E37" si="4">YEARFRAC(Y6, $E$5, 1)</f>
        <v>19.611864406779659</v>
      </c>
      <c r="F6" s="7">
        <f t="shared" ref="F6:F37" si="5">IFERROR(LEFT(AW6,FIND("'",AW6)-1)*12+SUBSTITUTE(MID(AW6,FIND("'",AW6)+1,LEN(AW6)),"''",""), "")</f>
        <v>82</v>
      </c>
      <c r="G6" s="7">
        <f t="shared" ref="G6:G37" si="6">AX6</f>
        <v>250</v>
      </c>
      <c r="H6" s="7">
        <f t="shared" ref="H6:H37" si="7">IFERROR(LEFT(AY6,FIND("'",AY6)-1)*12+SUBSTITUTE(MID(AY6,FIND("'",AY6)+1,LEN(AY6)),"''",""), "")</f>
        <v>85</v>
      </c>
      <c r="I6" s="7" t="str">
        <f t="shared" ref="I6:I37" si="8">IFERROR(LEFT(AZ6,FIND("'",AZ6)-1)*12+SUBSTITUTE(MID(AZ6,FIND("'",AZ6)+1,LEN(AZ6)),"''",""), "")</f>
        <v/>
      </c>
      <c r="J6" s="7" t="str">
        <f t="shared" ref="J6:J37" si="9">IFERROR(IF(AND(H6-F6&gt;= 0, H6 &gt; 0), "+", ""),"") &amp; IFERROR(IF(AND(H6-F6&gt;= -5, H6 &gt; 0), H6-F6, ""),"")</f>
        <v>+3</v>
      </c>
      <c r="K6" s="9">
        <f t="shared" ref="K6:K37" si="10">IF(F6&gt;0, IFERROR((H6-60)/(F6-60),""), "")</f>
        <v>1.1363636363636365</v>
      </c>
      <c r="L6" s="3" t="s">
        <v>387</v>
      </c>
      <c r="M6" s="3" t="s">
        <v>388</v>
      </c>
      <c r="N6" s="3" t="s">
        <v>386</v>
      </c>
      <c r="P6" s="3" t="s">
        <v>422</v>
      </c>
      <c r="Q6" s="19">
        <v>60.9</v>
      </c>
      <c r="R6" s="3">
        <f>IF(Q6=-1, "", IF(Q6=0,"HM.",IF(Q6="","",RANK(Q6,Q$6:Q$980))))</f>
        <v>1</v>
      </c>
      <c r="S6" s="7">
        <f>IFERROR(IF(FLOOR(Q6,1)=FLOOR(Q5,1),S5, MAX(S$5:S5)+1),1)</f>
        <v>1</v>
      </c>
      <c r="T6" s="7">
        <f>IFERROR(INDEX(actual!A:A,MATCH(A6,actual!B:B,FALSE)), "")</f>
        <v>1</v>
      </c>
      <c r="U6" s="7" t="str">
        <f>IFERROR(INDEX(actual!C:C,MATCH(A6,actual!B:B,FALSE)), "")</f>
        <v>ORL</v>
      </c>
      <c r="V6" s="4" t="str">
        <f>HYPERLINK(IF(D6="", "https://www.basketball-reference.com/international", "https://www.sports-reference.com/cbb") &amp; "/players/" &amp; LOWER(SUBSTITUTE(A6, " ", "-") &amp; "-1.html"))</f>
        <v>https://www.sports-reference.com/cbb/players/paolo-banchero-1.html</v>
      </c>
      <c r="W6" s="4" t="str">
        <f t="shared" ref="W6:W27" si="11">HYPERLINK("https://www.nbadraft.net/players/" &amp; LOWER(SUBSTITUTE(A6, " ", "-") &amp; ""))</f>
        <v>https://www.nbadraft.net/players/paolo-banchero</v>
      </c>
      <c r="X6" s="17" t="str">
        <f t="shared" ref="X6:X14" si="12">HYPERLINK("https://www.nba.com/draft/2022/prospects/" &amp; LOWER(SUBSTITUTE(A6, " ", "-") &amp; ""))</f>
        <v>https://www.nba.com/draft/2022/prospects/paolo-banchero</v>
      </c>
      <c r="Y6" s="10">
        <v>37572</v>
      </c>
      <c r="Z6" s="13">
        <f t="shared" ref="Z6:Z37" si="13">RANK(AC6,AC:AC,1)</f>
        <v>3</v>
      </c>
      <c r="AA6" s="13">
        <f t="shared" ref="AA6:AA37" si="14">RANK(AD6,AD:AD,1)</f>
        <v>2</v>
      </c>
      <c r="AB6" s="13">
        <f t="shared" ref="AB6:AB37" si="15">RANK(AE6,AE:AE,1)</f>
        <v>3</v>
      </c>
      <c r="AC6" s="12">
        <f t="shared" ref="AC6:AC37" si="16">AD6+AE6</f>
        <v>103</v>
      </c>
      <c r="AD6" s="20">
        <f>IFERROR(
IF($AF$4 = AD$5, ($AF$3 * IF($AF6&gt;0, $AF6, $AF$2)), 0)
+ IF($AG$4 = AD$5, ($AG$3 * IF($AG6&gt;0, $AG6, $AG$2)), 0)
+ IF($AH$4 = AD$5, ($AH$3 * IF($AH6&gt;0, $AH6, $AH$2)), 0)
+ IF($AI$4 = AD$5, ($AI$3 * IF($AI6&gt;0, $AI6, $AI$2)), 0)
+ IF($AJ$4 = AD$5, ($AJ$3 * IF($AJ6&gt;0, $AJ6, $AJ$2)), 0)
+ IF($AK$4 = AD$5, ($AK$3 * IF($AK6&gt;0, $AK6, $AK$2)), 0)
+ IF($AL$4 = AD$5, ($AL$3 * IF($AL6&gt;0, $AL6, $AL$2)), 0)
+ IF($AM$4 = AD$5, ($AM$3 * IF($AM6&gt;0, $AM6, $AM$2)), 0)
+ IF($AN$4 = AD$5, ($AN$3 * IF($AN6&gt;0, $AN6, $AN$2)), 0)
+ IF($AO$4 = AD$5, ($AO$3 * IF($AO6&gt;0, $AO6, $AO$2)), 0)
+ IF($AP$4 = AD$5, ($AP$3 * IF($AP6&gt;0, $AP6, $AP$2)), 0)
+ IF($AQ$4 = AD$5, ($AQ$3 * IF($AQ6&gt;0, $AQ6, $AQ$2)), 0)
+ IF($AR$4 = AD$5, ($AR$3 * IF($AR6&gt;0, $AR6, $AR$2)), 0)
+ IF($AS$4 = AD$5, ($AS$3 * IF($AS6&gt;0, $AS6, $AS$2)), 0)
+ IF($AT$4 = AD$5, ($AT$3 * IF($AT6&gt;0, $AT6, $AT$2)), 0)
+ IF($AU$4 = AD$5, ($AU$3 * IF($AU6&gt;0, $AU6, $AU$2)), 0)
+ IF($AV$4 = AD$5, ($AV$3 * IF($AV6&gt;0, IF($AV6 &gt; $AV$2, $AV$2, $AV6), $AV$2)), 0), -1)</f>
        <v>39</v>
      </c>
      <c r="AE6" s="20">
        <f>IFERROR(
IF($AF$4 = AE$5, ($AF$3 * IF($AF6&gt;0, $AF6, $AF$2)), 0)
+ IF($AG$4 = AE$5, ($AG$3 * IF($AG6&gt;0, $AG6, $AG$2)), 0)
+ IF($AH$4 = AE$5, ($AH$3 * IF($AH6&gt;0, $AH6, $AH$2)), 0)
+ IF($AI$4 = AE$5, ($AI$3 * IF($AI6&gt;0, $AI6, $AI$2)), 0)
+ IF($AJ$4 = AE$5, ($AJ$3 * IF($AJ6&gt;0, $AJ6, $AJ$2)), 0)
+ IF($AK$4 = AE$5, ($AK$3 * IF($AK6&gt;0, $AK6, $AK$2)), 0)
+ IF($AL$4 = AE$5, ($AL$3 * IF($AL6&gt;0, $AL6, $AL$2)), 0)
+ IF($AM$4 = AE$5, ($AM$3 * IF($AM6&gt;0, $AM6, $AM$2)), 0)
+ IF($AN$4 = AE$5, ($AN$3 * IF($AN6&gt;0, $AN6, $AN$2)), 0)
+ IF($AO$4 = AE$5, ($AO$3 * IF($AO6&gt;0, $AO6, $AO$2)), 0)
+ IF($AP$4 = AE$5, ($AP$3 * IF($AP6&gt;0, $AP6, $AP$2)), 0)
+ IF($AQ$4 = AE$5, ($AQ$3 * IF($AQ6&gt;0, $AQ6, $AQ$2)), 0)
+ IF($AR$4 = AE$5, ($AR$3 * IF($AR6&gt;0, $AR6, $AR$2)), 0)
+ IF($AS$4 = AE$5, ($AS$3 * IF($AS6&gt;0, $AS6, $AS$2)), 0)
+ IF($AT$4 = AE$5, ($AT$3 * IF($AT6&gt;0, $AT6, $AT$2)), 0)
+ IF($AU$4 = AE$5, ($AU$3 * IF($AU6&gt;0, $AU6, $AU$2)), 0)
+ IF($AV$4 = AE$5, ($AV$3 * IF($AV6&gt;0, IF($AV6 &gt; $AV$2, $AV$2, $AV6), $AV$2)), 0), -1)</f>
        <v>64</v>
      </c>
      <c r="AF6" s="13">
        <v>2</v>
      </c>
      <c r="AG6" s="13">
        <v>1</v>
      </c>
      <c r="AH6" s="13">
        <v>4</v>
      </c>
      <c r="AI6" s="13">
        <v>11</v>
      </c>
      <c r="AJ6" s="13">
        <v>6</v>
      </c>
      <c r="AK6" s="13">
        <v>5</v>
      </c>
      <c r="AL6" s="13">
        <v>3</v>
      </c>
      <c r="AN6" s="13">
        <v>1</v>
      </c>
      <c r="AO6" s="13">
        <v>1</v>
      </c>
      <c r="AP6" s="13">
        <v>3</v>
      </c>
      <c r="AQ6" s="13">
        <v>2</v>
      </c>
      <c r="AR6" s="13">
        <v>1</v>
      </c>
      <c r="AS6" s="13">
        <v>3</v>
      </c>
      <c r="AT6" s="13">
        <v>2</v>
      </c>
      <c r="AU6" s="13">
        <v>3</v>
      </c>
      <c r="AV6" s="13">
        <v>2</v>
      </c>
      <c r="AW6" s="2" t="str">
        <f>IFERROR(INDEX(measureables!$A:$J,MATCH($A6,measureables!$A:$A,FALSE),7), "")</f>
        <v>6' 10''</v>
      </c>
      <c r="AX6" s="2">
        <f>IFERROR(INDEX(measureables!$A:$J,MATCH($A6,measureables!$A:$A,FALSE),9), "")</f>
        <v>250</v>
      </c>
      <c r="AY6" s="2" t="str">
        <f>IFERROR(INDEX(measureables!$A:$J,MATCH($A6,measureables!$A:$A,FALSE),10), "")</f>
        <v>7' 1''</v>
      </c>
      <c r="AZ6" s="2">
        <f>IFERROR(INDEX(measureables!$A:$J,MATCH($A6,measureables!$A:$A,FALSE),8), "")</f>
        <v>0</v>
      </c>
      <c r="BA6" t="str">
        <f>IF(R6="",A6,
IF(S6=S5,"",IF(S6=1,"
&lt;!-- rankings --&gt;
  ","
  &lt;/ol&gt;
  "
)
&amp;
"&lt;h2&gt; Tier "
&amp;S6
&amp;" (~"
&amp;IF(MOD(ROUND(Q6,0),5)=0,ROUND(Q6,0),FLOOR(ROUND(Q6,0),5)&amp;"+")
&amp;" FV)&lt;/h2&gt;
  &lt;ol start='"
&amp;R6
&amp;" '&gt;
  "
)
&amp;
"  &lt;li&gt;&lt;b&gt;&lt;a 
    target='_blank' href='"
&amp;X6
&amp;"'&gt;"
&amp;A6
&amp;"&lt;/a&gt;&lt;/b&gt;
    - &lt;i&gt;
    &lt;a target='_blank' href='"
&amp;W6
&amp;"'&gt;"
&amp;B6
&amp;" &lt;/a&gt;&lt;/b&gt;
    - 
    &lt;a target='_blank'href='"
&amp;V6
&amp;"'&gt;"
&amp;C6
&amp;"&lt;/a&gt;&lt;/b&gt; &lt;/i&gt;&lt;/li&gt;
  &lt;ul style='list-style-type:none'&gt;"
&amp;IF(D6&lt;&gt;"","
    &lt;li&gt;Grade: "&amp;D6&amp;" &lt;/li&gt;","")
&amp;IF(E6&lt;&gt;"","
    &lt;li&gt;Age: "&amp;ROUND(E6,1)&amp;" &lt;/li&gt;","")
&amp;IF(F6&lt;&gt;"","
    &lt;li&gt;Height: "&amp;F6&amp;" in &lt;/li&gt;","")
&amp;IF(G6&lt;&gt;"","
    &lt;li&gt;Weight: "&amp;G6&amp;" lbs &lt;/li&gt;","")
&amp;IF(H6&lt;&gt;"","
    &lt;li&gt;Wingspan: "&amp;H6&amp;" in &lt;/li&gt;","")
&amp;IF(I6&lt;&gt;"","
    &lt;li&gt;Reach: "&amp;I6&amp;" in &lt;/li&gt;","")
&amp;IF(J6&lt;&gt;"","
    &lt;li&gt;Ape: "&amp;J6&amp;" &lt;/li&gt;","")
&amp;IF(L6&lt;&gt;"","
    &lt;li&gt;++: "&amp;L6&amp;" &lt;/li&gt;","")
&amp;IF(M6&lt;&gt;"","
    &lt;li&gt;+: "&amp;M6&amp;" &lt;/li&gt;","")
&amp;IF(N6&lt;&gt;"","
    &lt;li&gt;-: "&amp;N6&amp;" &lt;/li&gt;","")
&amp;IF(O6&lt;&gt;"","
    &lt;li&gt;--: "&amp;O6&amp;" &lt;/li&gt;","")
&amp;IF(P6&lt;&gt;"","
    &lt;li&gt;Additional Notes: "&amp;P6&amp;" &lt;/li&gt;","")
&amp;"
  &lt;/ul&gt;
  &lt;br&gt;"
&amp;IF(AND(R6&lt;&gt;"",R7=""),"
  &lt;/ol&gt;
&lt;!-- # end of rankings --&gt;
","")
)</f>
        <v xml:space="preserve">
&lt;!-- rankings --&gt;
  &lt;h2&gt; Tier 1 (~60+ FV)&lt;/h2&gt;
  &lt;ol start='1 '&gt;
    &lt;li&gt;&lt;b&gt;&lt;a 
    target='_blank' href='https://www.nba.com/draft/2022/prospects/paolo-banchero'&gt;Paolo Banchero&lt;/a&gt;&lt;/b&gt;
    - &lt;i&gt;
    &lt;a target='_blank' href='https://www.nbadraft.net/players/paolo-banchero'&gt;PF &lt;/a&gt;&lt;/b&gt;
    - 
    &lt;a target='_blank'href='https://www.sports-reference.com/cbb/players/paolo-banchero-1.html'&gt;Duke&lt;/a&gt;&lt;/b&gt; &lt;/i&gt;&lt;/li&gt;
  &lt;ul style='list-style-type:none'&gt;
    &lt;li&gt;Grade: Freshman &lt;/li&gt;
    &lt;li&gt;Age: 19.6 &lt;/li&gt;
    &lt;li&gt;Height: 82 in &lt;/li&gt;
    &lt;li&gt;Weight: 250 lbs &lt;/li&gt;
    &lt;li&gt;Wingspan: 85 in &lt;/li&gt;
    &lt;li&gt;Ape: +3 &lt;/li&gt;
    &lt;li&gt;++: size, offensive creation, rim attacking &lt;/li&gt;
    &lt;li&gt;+: passing &lt;/li&gt;
    &lt;li&gt;-: defensive impact, shooting &lt;/li&gt;
    &lt;li&gt;Additional Notes: upside of a big wing who can be a primary offensive creator (arguably the most valuable archtype in the sport) &lt;/li&gt;
  &lt;/ul&gt;
  &lt;br&gt;</v>
      </c>
    </row>
    <row r="7" spans="1:53" ht="22" customHeight="1" x14ac:dyDescent="0.2">
      <c r="A7" t="s">
        <v>260</v>
      </c>
      <c r="B7" t="s">
        <v>13</v>
      </c>
      <c r="C7" s="3" t="s">
        <v>74</v>
      </c>
      <c r="D7" s="3" t="s">
        <v>19</v>
      </c>
      <c r="E7" s="9">
        <f t="shared" si="4"/>
        <v>19.112936344969199</v>
      </c>
      <c r="F7" s="7">
        <f t="shared" si="5"/>
        <v>82</v>
      </c>
      <c r="G7" s="7">
        <f t="shared" si="6"/>
        <v>210</v>
      </c>
      <c r="H7" s="7" t="str">
        <f t="shared" si="7"/>
        <v/>
      </c>
      <c r="I7" s="7" t="str">
        <f t="shared" si="8"/>
        <v/>
      </c>
      <c r="J7" s="7" t="str">
        <f t="shared" si="9"/>
        <v/>
      </c>
      <c r="K7" s="9" t="str">
        <f t="shared" si="10"/>
        <v/>
      </c>
      <c r="L7" s="3" t="s">
        <v>389</v>
      </c>
      <c r="M7" s="3" t="s">
        <v>390</v>
      </c>
      <c r="N7" s="3" t="s">
        <v>391</v>
      </c>
      <c r="P7" s="3" t="s">
        <v>392</v>
      </c>
      <c r="Q7" s="19">
        <v>60.8</v>
      </c>
      <c r="R7" s="3">
        <f t="shared" ref="R7:R70" si="17">IF(Q7=-1, "", IF(Q7=0,"HM.",IF(Q7="","",RANK(Q7,Q$6:Q$980))))</f>
        <v>2</v>
      </c>
      <c r="S7" s="7">
        <f>IFERROR(IF(FLOOR(Q7,1)=FLOOR(Q6,1),S6, MAX(S$5:S6)+1),1)</f>
        <v>1</v>
      </c>
      <c r="T7" s="7">
        <f>IFERROR(INDEX(actual!A:A,MATCH(A7,actual!B:B,FALSE)), "")</f>
        <v>3</v>
      </c>
      <c r="U7" s="7" t="str">
        <f>IFERROR(INDEX(actual!C:C,MATCH(A7,actual!B:B,FALSE)), "")</f>
        <v>HOU</v>
      </c>
      <c r="V7" s="16" t="s">
        <v>280</v>
      </c>
      <c r="W7" s="4" t="str">
        <f t="shared" si="11"/>
        <v>https://www.nbadraft.net/players/jabari-smith</v>
      </c>
      <c r="X7" s="17" t="str">
        <f t="shared" si="12"/>
        <v>https://www.nba.com/draft/2022/prospects/jabari-smith</v>
      </c>
      <c r="Y7" s="10">
        <v>37754</v>
      </c>
      <c r="Z7" s="13">
        <f t="shared" si="13"/>
        <v>1</v>
      </c>
      <c r="AA7" s="13">
        <f t="shared" si="14"/>
        <v>1</v>
      </c>
      <c r="AB7" s="13">
        <f t="shared" si="15"/>
        <v>1</v>
      </c>
      <c r="AC7" s="12">
        <f t="shared" si="16"/>
        <v>57</v>
      </c>
      <c r="AD7" s="20">
        <f t="shared" ref="AD7:AE38" si="18">IFERROR(
IF($AF$4 = AD$5, ($AF$3 * IF($AF7&gt;0, $AF7, $AF$2)), 0)
+ IF($AG$4 = AD$5, ($AG$3 * IF($AG7&gt;0, $AG7, $AG$2)), 0)
+ IF($AH$4 = AD$5, ($AH$3 * IF($AH7&gt;0, $AH7, $AH$2)), 0)
+ IF($AI$4 = AD$5, ($AI$3 * IF($AI7&gt;0, $AI7, $AI$2)), 0)
+ IF($AJ$4 = AD$5, ($AJ$3 * IF($AJ7&gt;0, $AJ7, $AJ$2)), 0)
+ IF($AK$4 = AD$5, ($AK$3 * IF($AK7&gt;0, $AK7, $AK$2)), 0)
+ IF($AL$4 = AD$5, ($AL$3 * IF($AL7&gt;0, $AL7, $AL$2)), 0)
+ IF($AM$4 = AD$5, ($AM$3 * IF($AM7&gt;0, $AM7, $AM$2)), 0)
+ IF($AN$4 = AD$5, ($AN$3 * IF($AN7&gt;0, $AN7, $AN$2)), 0)
+ IF($AO$4 = AD$5, ($AO$3 * IF($AO7&gt;0, $AO7, $AO$2)), 0)
+ IF($AP$4 = AD$5, ($AP$3 * IF($AP7&gt;0, $AP7, $AP$2)), 0)
+ IF($AQ$4 = AD$5, ($AQ$3 * IF($AQ7&gt;0, $AQ7, $AQ$2)), 0)
+ IF($AR$4 = AD$5, ($AR$3 * IF($AR7&gt;0, $AR7, $AR$2)), 0)
+ IF($AS$4 = AD$5, ($AS$3 * IF($AS7&gt;0, $AS7, $AS$2)), 0)
+ IF($AT$4 = AD$5, ($AT$3 * IF($AT7&gt;0, $AT7, $AT$2)), 0)
+ IF($AU$4 = AD$5, ($AU$3 * IF($AU7&gt;0, $AU7, $AU$2)), 0)
+ IF($AV$4 = AD$5, ($AV$3 * IF($AV7&gt;0, IF($AV7 &gt; $AV$2, $AV$2, $AV7), $AV$2)), 0), -1)</f>
        <v>34</v>
      </c>
      <c r="AE7" s="20">
        <f t="shared" si="18"/>
        <v>23</v>
      </c>
      <c r="AF7" s="13">
        <v>1</v>
      </c>
      <c r="AG7" s="13">
        <v>1</v>
      </c>
      <c r="AH7" s="13">
        <v>1</v>
      </c>
      <c r="AI7" s="13">
        <v>2</v>
      </c>
      <c r="AJ7" s="13">
        <v>3</v>
      </c>
      <c r="AK7" s="13">
        <v>4</v>
      </c>
      <c r="AL7" s="13">
        <v>2</v>
      </c>
      <c r="AN7" s="13">
        <v>2</v>
      </c>
      <c r="AO7" s="13">
        <v>1</v>
      </c>
      <c r="AP7" s="13">
        <v>1</v>
      </c>
      <c r="AQ7" s="13">
        <v>1</v>
      </c>
      <c r="AR7" s="13">
        <v>2</v>
      </c>
      <c r="AS7" s="13">
        <v>2</v>
      </c>
      <c r="AT7" s="13">
        <v>2</v>
      </c>
      <c r="AU7" s="13">
        <v>2</v>
      </c>
      <c r="AV7" s="13">
        <v>4</v>
      </c>
      <c r="AW7" s="2" t="str">
        <f>IFERROR(INDEX(measureables!$A:$J,MATCH($A7,measureables!$A:$A,FALSE),7), "")</f>
        <v>6' 10''</v>
      </c>
      <c r="AX7" s="2">
        <f>IFERROR(INDEX(measureables!$A:$J,MATCH($A7,measureables!$A:$A,FALSE),9), "")</f>
        <v>210</v>
      </c>
      <c r="AY7" s="2">
        <f>IFERROR(INDEX(measureables!$A:$J,MATCH($A7,measureables!$A:$A,FALSE),10), "")</f>
        <v>0</v>
      </c>
      <c r="AZ7" s="2">
        <f>IFERROR(INDEX(measureables!$A:$J,MATCH($A7,measureables!$A:$A,FALSE),8), "")</f>
        <v>0</v>
      </c>
      <c r="BA7" t="str">
        <f t="shared" ref="BA7:BA70" si="19">IF(R7="",A7,
IF(S7=S6,"",IF(S7=1,"
&lt;!-- rankings --&gt;
  ","
  &lt;/ol&gt;
  "
)
&amp;
"&lt;h2&gt; Tier "
&amp;S7
&amp;" (~"
&amp;IF(MOD(ROUND(Q7,0),5)=0,ROUND(Q7,0),FLOOR(ROUND(Q7,0),5)&amp;"+")
&amp;" FV)&lt;/h2&gt;
  &lt;ol start='"
&amp;R7
&amp;" '&gt;
  "
)
&amp;
"  &lt;li&gt;&lt;b&gt;&lt;a 
    target='_blank' href='"
&amp;X7
&amp;"'&gt;"
&amp;A7
&amp;"&lt;/a&gt;&lt;/b&gt;
    - &lt;i&gt;
    &lt;a target='_blank' href='"
&amp;W7
&amp;"'&gt;"
&amp;B7
&amp;" &lt;/a&gt;&lt;/b&gt;
    - 
    &lt;a target='_blank'href='"
&amp;V7
&amp;"'&gt;"
&amp;C7
&amp;"&lt;/a&gt;&lt;/b&gt; &lt;/i&gt;&lt;/li&gt;
  &lt;ul style='list-style-type:none'&gt;"
&amp;IF(D7&lt;&gt;"","
    &lt;li&gt;Grade: "&amp;D7&amp;" &lt;/li&gt;","")
&amp;IF(E7&lt;&gt;"","
    &lt;li&gt;Age: "&amp;ROUND(E7,1)&amp;" &lt;/li&gt;","")
&amp;IF(F7&lt;&gt;"","
    &lt;li&gt;Height: "&amp;F7&amp;" in &lt;/li&gt;","")
&amp;IF(G7&lt;&gt;"","
    &lt;li&gt;Weight: "&amp;G7&amp;" lbs &lt;/li&gt;","")
&amp;IF(H7&lt;&gt;"","
    &lt;li&gt;Wingspan: "&amp;H7&amp;" in &lt;/li&gt;","")
&amp;IF(I7&lt;&gt;"","
    &lt;li&gt;Reach: "&amp;I7&amp;" in &lt;/li&gt;","")
&amp;IF(J7&lt;&gt;"","
    &lt;li&gt;Ape: "&amp;J7&amp;" &lt;/li&gt;","")
&amp;IF(L7&lt;&gt;"","
    &lt;li&gt;++: "&amp;L7&amp;" &lt;/li&gt;","")
&amp;IF(M7&lt;&gt;"","
    &lt;li&gt;+: "&amp;M7&amp;" &lt;/li&gt;","")
&amp;IF(N7&lt;&gt;"","
    &lt;li&gt;-: "&amp;N7&amp;" &lt;/li&gt;","")
&amp;IF(O7&lt;&gt;"","
    &lt;li&gt;--: "&amp;O7&amp;" &lt;/li&gt;","")
&amp;IF(P7&lt;&gt;"","
    &lt;li&gt;Additional Notes: "&amp;P7&amp;" &lt;/li&gt;","")
&amp;"
  &lt;/ul&gt;
  &lt;br&gt;"
&amp;IF(AND(R7&lt;&gt;"",R8=""),"
  &lt;/ol&gt;
&lt;!-- # end of rankings --&gt;
","")
)</f>
        <v xml:space="preserve">  &lt;li&gt;&lt;b&gt;&lt;a 
    target='_blank' href='https://www.nba.com/draft/2022/prospects/jabari-smith'&gt;Jabari Smith&lt;/a&gt;&lt;/b&gt;
    - &lt;i&gt;
    &lt;a target='_blank' href='https://www.nbadraft.net/players/jabari-smith'&gt;PF &lt;/a&gt;&lt;/b&gt;
    - 
    &lt;a target='_blank'href='https://www.sports-reference.com/cbb/players/jabari-smith-2.html'&gt;Auburn&lt;/a&gt;&lt;/b&gt; &lt;/i&gt;&lt;/li&gt;
  &lt;ul style='list-style-type:none'&gt;
    &lt;li&gt;Grade: Freshman &lt;/li&gt;
    &lt;li&gt;Age: 19.1 &lt;/li&gt;
    &lt;li&gt;Height: 82 in &lt;/li&gt;
    &lt;li&gt;Weight: 210 lbs &lt;/li&gt;
    &lt;li&gt;++: shooting &lt;/li&gt;
    &lt;li&gt;+: age, height, perimeter and on-ball defensive given size &lt;/li&gt;
    &lt;li&gt;-: ball handling, passing, offensive creation, interior defense &lt;/li&gt;
    &lt;li&gt;Additional Notes: probably won't be a primary creator, but his size+shooting is a great combination for a secondary threat, with defensive upside to boot &lt;/li&gt;
  &lt;/ul&gt;
  &lt;br&gt;</v>
      </c>
    </row>
    <row r="8" spans="1:53" ht="22" customHeight="1" x14ac:dyDescent="0.2">
      <c r="A8" t="s">
        <v>269</v>
      </c>
      <c r="B8" t="s">
        <v>13</v>
      </c>
      <c r="C8" s="3" t="s">
        <v>63</v>
      </c>
      <c r="D8" s="3" t="s">
        <v>19</v>
      </c>
      <c r="E8" s="9">
        <f t="shared" si="4"/>
        <v>20.145762711864407</v>
      </c>
      <c r="F8" s="7">
        <f t="shared" si="5"/>
        <v>84</v>
      </c>
      <c r="G8" s="7">
        <f t="shared" si="6"/>
        <v>195</v>
      </c>
      <c r="H8" s="7">
        <f t="shared" si="7"/>
        <v>89</v>
      </c>
      <c r="I8" s="7" t="str">
        <f t="shared" si="8"/>
        <v/>
      </c>
      <c r="J8" s="7" t="str">
        <f t="shared" si="9"/>
        <v>+5</v>
      </c>
      <c r="K8" s="9">
        <f t="shared" si="10"/>
        <v>1.2083333333333333</v>
      </c>
      <c r="L8" s="3" t="s">
        <v>394</v>
      </c>
      <c r="M8" s="3" t="s">
        <v>395</v>
      </c>
      <c r="N8" s="3" t="s">
        <v>396</v>
      </c>
      <c r="O8" s="3" t="s">
        <v>393</v>
      </c>
      <c r="P8" s="3" t="s">
        <v>397</v>
      </c>
      <c r="Q8" s="19">
        <v>60.7</v>
      </c>
      <c r="R8" s="3">
        <f t="shared" si="17"/>
        <v>3</v>
      </c>
      <c r="S8" s="7">
        <f>IFERROR(IF(FLOOR(Q8,1)=FLOOR(Q7,1),S7, MAX(S$5:S7)+1),1)</f>
        <v>1</v>
      </c>
      <c r="T8" s="7">
        <f>IFERROR(INDEX(actual!A:A,MATCH(A8,actual!B:B,FALSE)), "")</f>
        <v>2</v>
      </c>
      <c r="U8" s="7" t="str">
        <f>IFERROR(INDEX(actual!C:C,MATCH(A8,actual!B:B,FALSE)), "")</f>
        <v>OKC</v>
      </c>
      <c r="V8" s="4" t="str">
        <f>HYPERLINK(IF(D8="", "https://www.basketball-reference.com/international", "https://www.sports-reference.com/cbb") &amp; "/players/" &amp; LOWER(SUBSTITUTE(A8, " ", "-") &amp; "-1.html"))</f>
        <v>https://www.sports-reference.com/cbb/players/chet-holmgren-1.html</v>
      </c>
      <c r="W8" s="4" t="str">
        <f t="shared" si="11"/>
        <v>https://www.nbadraft.net/players/chet-holmgren</v>
      </c>
      <c r="X8" s="17" t="str">
        <f t="shared" si="12"/>
        <v>https://www.nba.com/draft/2022/prospects/chet-holmgren</v>
      </c>
      <c r="Y8" s="10">
        <v>37377</v>
      </c>
      <c r="Z8" s="13">
        <f t="shared" si="13"/>
        <v>2</v>
      </c>
      <c r="AA8" s="13">
        <f t="shared" si="14"/>
        <v>3</v>
      </c>
      <c r="AB8" s="13">
        <f t="shared" si="15"/>
        <v>2</v>
      </c>
      <c r="AC8" s="12">
        <f t="shared" si="16"/>
        <v>78</v>
      </c>
      <c r="AD8" s="20">
        <f t="shared" si="18"/>
        <v>47</v>
      </c>
      <c r="AE8" s="20">
        <f t="shared" si="18"/>
        <v>31</v>
      </c>
      <c r="AF8" s="13">
        <v>4</v>
      </c>
      <c r="AG8" s="13">
        <v>2</v>
      </c>
      <c r="AH8" s="13">
        <v>6</v>
      </c>
      <c r="AI8" s="13">
        <v>1</v>
      </c>
      <c r="AJ8" s="13">
        <v>1</v>
      </c>
      <c r="AK8" s="13">
        <v>1</v>
      </c>
      <c r="AL8" s="13">
        <v>1</v>
      </c>
      <c r="AN8" s="13">
        <v>3</v>
      </c>
      <c r="AO8" s="13">
        <v>1</v>
      </c>
      <c r="AP8" s="13">
        <v>2</v>
      </c>
      <c r="AQ8" s="13">
        <v>2</v>
      </c>
      <c r="AR8" s="13">
        <v>3</v>
      </c>
      <c r="AS8" s="13">
        <v>1</v>
      </c>
      <c r="AT8" s="13">
        <v>2</v>
      </c>
      <c r="AU8" s="13">
        <v>1</v>
      </c>
      <c r="AV8" s="13">
        <v>1</v>
      </c>
      <c r="AW8" s="2" t="str">
        <f>IFERROR(INDEX(measureables!$A:$J,MATCH($A8,measureables!$A:$A,FALSE),7), "")</f>
        <v>7' 0''</v>
      </c>
      <c r="AX8" s="2">
        <f>IFERROR(INDEX(measureables!$A:$J,MATCH($A8,measureables!$A:$A,FALSE),9), "")</f>
        <v>195</v>
      </c>
      <c r="AY8" s="2" t="str">
        <f>IFERROR(INDEX(measureables!$A:$J,MATCH($A8,measureables!$A:$A,FALSE),10), "")</f>
        <v>7' 5''</v>
      </c>
      <c r="AZ8" s="2">
        <f>IFERROR(INDEX(measureables!$A:$J,MATCH($A8,measureables!$A:$A,FALSE),8), "")</f>
        <v>0</v>
      </c>
      <c r="BA8" t="str">
        <f t="shared" si="19"/>
        <v xml:space="preserve">  &lt;li&gt;&lt;b&gt;&lt;a 
    target='_blank' href='https://www.nba.com/draft/2022/prospects/chet-holmgren'&gt;Chet Holmgren&lt;/a&gt;&lt;/b&gt;
    - &lt;i&gt;
    &lt;a target='_blank' href='https://www.nbadraft.net/players/chet-holmgren'&gt;PF &lt;/a&gt;&lt;/b&gt;
    - 
    &lt;a target='_blank'href='https://www.sports-reference.com/cbb/players/chet-holmgren-1.html'&gt;Gonzaga&lt;/a&gt;&lt;/b&gt; &lt;/i&gt;&lt;/li&gt;
  &lt;ul style='list-style-type:none'&gt;
    &lt;li&gt;Grade: Freshman &lt;/li&gt;
    &lt;li&gt;Age: 20.1 &lt;/li&gt;
    &lt;li&gt;Height: 84 in &lt;/li&gt;
    &lt;li&gt;Weight: 195 lbs &lt;/li&gt;
    &lt;li&gt;Wingspan: 89 in &lt;/li&gt;
    &lt;li&gt;Ape: +5 &lt;/li&gt;
    &lt;li&gt;++: rim protection, fluidity &lt;/li&gt;
    &lt;li&gt;+: shooting, off-ball abilities (both sides) &lt;/li&gt;
    &lt;li&gt;-: on-ball defense &lt;/li&gt;
    &lt;li&gt;--: age, frame &lt;/li&gt;
    &lt;li&gt;Additional Notes: for a player with such obvious strengths and weaknesses, it's difficult to determine what type of impact Holmgren will have given his uniqueness &lt;/li&gt;
  &lt;/ul&gt;
  &lt;br&gt;</v>
      </c>
    </row>
    <row r="9" spans="1:53" ht="22" customHeight="1" x14ac:dyDescent="0.2">
      <c r="A9" t="s">
        <v>185</v>
      </c>
      <c r="B9" t="s">
        <v>16</v>
      </c>
      <c r="C9" s="3" t="s">
        <v>64</v>
      </c>
      <c r="E9" s="9">
        <f t="shared" si="4"/>
        <v>19.26899383983573</v>
      </c>
      <c r="F9" s="7">
        <f t="shared" si="5"/>
        <v>79.5</v>
      </c>
      <c r="G9" s="7">
        <f t="shared" si="6"/>
        <v>195.2</v>
      </c>
      <c r="H9" s="7">
        <f t="shared" si="7"/>
        <v>82.5</v>
      </c>
      <c r="I9" s="7">
        <f t="shared" si="8"/>
        <v>105</v>
      </c>
      <c r="J9" s="7" t="str">
        <f t="shared" si="9"/>
        <v>+3</v>
      </c>
      <c r="K9" s="9">
        <f t="shared" si="10"/>
        <v>1.1538461538461537</v>
      </c>
      <c r="L9" s="3" t="s">
        <v>428</v>
      </c>
      <c r="M9" s="3" t="s">
        <v>429</v>
      </c>
      <c r="N9" s="3" t="s">
        <v>430</v>
      </c>
      <c r="P9" s="3" t="s">
        <v>431</v>
      </c>
      <c r="Q9" s="19">
        <v>52.9</v>
      </c>
      <c r="R9" s="3">
        <f t="shared" si="17"/>
        <v>4</v>
      </c>
      <c r="S9" s="7">
        <f>IFERROR(IF(FLOOR(Q9,1)=FLOOR(Q8,1),S8, MAX(S$5:S8)+1),1)</f>
        <v>2</v>
      </c>
      <c r="T9" s="7">
        <f>IFERROR(INDEX(actual!A:A,MATCH(A9,actual!B:B,FALSE)), "")</f>
        <v>8</v>
      </c>
      <c r="U9" s="7" t="str">
        <f>IFERROR(INDEX(actual!C:C,MATCH(A9,actual!B:B,FALSE)), "")</f>
        <v>NOP</v>
      </c>
      <c r="V9" s="16" t="s">
        <v>286</v>
      </c>
      <c r="W9" s="4" t="str">
        <f t="shared" si="11"/>
        <v>https://www.nbadraft.net/players/dyson-daniels</v>
      </c>
      <c r="X9" s="17" t="str">
        <f t="shared" si="12"/>
        <v>https://www.nba.com/draft/2022/prospects/dyson-daniels</v>
      </c>
      <c r="Y9" s="10">
        <v>37697</v>
      </c>
      <c r="Z9" s="13">
        <f t="shared" si="13"/>
        <v>4</v>
      </c>
      <c r="AA9" s="13">
        <f t="shared" si="14"/>
        <v>8</v>
      </c>
      <c r="AB9" s="13">
        <f t="shared" si="15"/>
        <v>4</v>
      </c>
      <c r="AC9" s="12">
        <f t="shared" si="16"/>
        <v>214</v>
      </c>
      <c r="AD9" s="20">
        <f t="shared" si="18"/>
        <v>135</v>
      </c>
      <c r="AE9" s="20">
        <f t="shared" si="18"/>
        <v>79</v>
      </c>
      <c r="AF9" s="13">
        <v>9</v>
      </c>
      <c r="AG9" s="13">
        <v>4</v>
      </c>
      <c r="AH9" s="13">
        <v>12</v>
      </c>
      <c r="AI9" s="13">
        <v>5</v>
      </c>
      <c r="AJ9" s="13">
        <v>2</v>
      </c>
      <c r="AK9" s="13">
        <v>8</v>
      </c>
      <c r="AL9" s="13">
        <v>7</v>
      </c>
      <c r="AN9" s="13">
        <v>4</v>
      </c>
      <c r="AO9" s="13">
        <v>2</v>
      </c>
      <c r="AP9" s="13">
        <v>11</v>
      </c>
      <c r="AQ9" s="13">
        <v>3</v>
      </c>
      <c r="AR9" s="13">
        <v>7</v>
      </c>
      <c r="AS9" s="13">
        <v>7</v>
      </c>
      <c r="AT9" s="13">
        <v>3</v>
      </c>
      <c r="AU9" s="13">
        <v>6</v>
      </c>
      <c r="AW9" s="2" t="str">
        <f>IFERROR(INDEX(measureables!$A:$J,MATCH($A9,measureables!$A:$A,FALSE),7), "")</f>
        <v>6' 7.50''</v>
      </c>
      <c r="AX9" s="2">
        <f>IFERROR(INDEX(measureables!$A:$J,MATCH($A9,measureables!$A:$A,FALSE),9), "")</f>
        <v>195.2</v>
      </c>
      <c r="AY9" s="2" t="str">
        <f>IFERROR(INDEX(measureables!$A:$J,MATCH($A9,measureables!$A:$A,FALSE),10), "")</f>
        <v>6' 10.50''</v>
      </c>
      <c r="AZ9" s="2" t="str">
        <f>IFERROR(INDEX(measureables!$A:$J,MATCH($A9,measureables!$A:$A,FALSE),8), "")</f>
        <v>8' 9.00''</v>
      </c>
      <c r="BA9" t="str">
        <f t="shared" si="19"/>
        <v xml:space="preserve">
  &lt;/ol&gt;
  &lt;h2&gt; Tier 2 (~50+ FV)&lt;/h2&gt;
  &lt;ol start='4 '&gt;
    &lt;li&gt;&lt;b&gt;&lt;a 
    target='_blank' href='https://www.nba.com/draft/2022/prospects/dyson-daniels'&gt;Dyson Daniels&lt;/a&gt;&lt;/b&gt;
    - &lt;i&gt;
    &lt;a target='_blank' href='https://www.nbadraft.net/players/dyson-daniels'&gt;SG &lt;/a&gt;&lt;/b&gt;
    - 
    &lt;a target='_blank'href='https://www.basketball-reference.com/players/d/daniedy01.html'&gt;G League Ignite&lt;/a&gt;&lt;/b&gt; &lt;/i&gt;&lt;/li&gt;
  &lt;ul style='list-style-type:none'&gt;
    &lt;li&gt;Age: 19.3 &lt;/li&gt;
    &lt;li&gt;Height: 79.5 in &lt;/li&gt;
    &lt;li&gt;Weight: 195.2 lbs &lt;/li&gt;
    &lt;li&gt;Wingspan: 82.5 in &lt;/li&gt;
    &lt;li&gt;Reach: 105 in &lt;/li&gt;
    &lt;li&gt;Ape: +3 &lt;/li&gt;
    &lt;li&gt;++: basketball IQ, on-ball defense &lt;/li&gt;
    &lt;li&gt;+: ball-handling, passing &lt;/li&gt;
    &lt;li&gt;-: shooting, athleticism &lt;/li&gt;
    &lt;li&gt;Additional Notes: high floor player based on passing, defense, and feel for the game, but still has untapped upside if the shooting improves  &lt;/li&gt;
  &lt;/ul&gt;
  &lt;br&gt;</v>
      </c>
    </row>
    <row r="10" spans="1:53" ht="22" customHeight="1" x14ac:dyDescent="0.2">
      <c r="A10" t="s">
        <v>259</v>
      </c>
      <c r="B10" t="s">
        <v>13</v>
      </c>
      <c r="C10" s="3" t="s">
        <v>71</v>
      </c>
      <c r="D10" s="3" t="s">
        <v>19</v>
      </c>
      <c r="E10" s="9">
        <f t="shared" si="4"/>
        <v>19.093771389459274</v>
      </c>
      <c r="F10" s="7">
        <f t="shared" si="5"/>
        <v>81</v>
      </c>
      <c r="G10" s="7">
        <f t="shared" si="6"/>
        <v>230</v>
      </c>
      <c r="H10" s="7" t="str">
        <f t="shared" si="7"/>
        <v/>
      </c>
      <c r="I10" s="7" t="str">
        <f t="shared" si="8"/>
        <v/>
      </c>
      <c r="J10" s="7" t="str">
        <f t="shared" si="9"/>
        <v/>
      </c>
      <c r="K10" s="9" t="str">
        <f t="shared" si="10"/>
        <v/>
      </c>
      <c r="L10" s="3" t="s">
        <v>432</v>
      </c>
      <c r="M10" s="3" t="s">
        <v>434</v>
      </c>
      <c r="N10" s="3" t="s">
        <v>433</v>
      </c>
      <c r="O10" s="3" t="s">
        <v>389</v>
      </c>
      <c r="P10" s="3" t="s">
        <v>435</v>
      </c>
      <c r="Q10" s="19">
        <v>52.8</v>
      </c>
      <c r="R10" s="3">
        <f t="shared" si="17"/>
        <v>5</v>
      </c>
      <c r="S10" s="7">
        <f>IFERROR(IF(FLOOR(Q10,1)=FLOOR(Q9,1),S9, MAX(S$5:S9)+1),1)</f>
        <v>2</v>
      </c>
      <c r="T10" s="7">
        <f>IFERROR(INDEX(actual!A:A,MATCH(A10,actual!B:B,FALSE)), "")</f>
        <v>9</v>
      </c>
      <c r="U10" s="7" t="str">
        <f>IFERROR(INDEX(actual!C:C,MATCH(A10,actual!B:B,FALSE)), "")</f>
        <v>SAS</v>
      </c>
      <c r="V10" s="4" t="str">
        <f t="shared" ref="V10:V15" si="20">HYPERLINK(IF(D10="", "https://www.basketball-reference.com/international", "https://www.sports-reference.com/cbb") &amp; "/players/" &amp; LOWER(SUBSTITUTE(A10, " ", "-") &amp; "-1.html"))</f>
        <v>https://www.sports-reference.com/cbb/players/jeremy-sochan-1.html</v>
      </c>
      <c r="W10" s="4" t="str">
        <f t="shared" si="11"/>
        <v>https://www.nbadraft.net/players/jeremy-sochan</v>
      </c>
      <c r="X10" s="17" t="str">
        <f t="shared" si="12"/>
        <v>https://www.nba.com/draft/2022/prospects/jeremy-sochan</v>
      </c>
      <c r="Y10" s="10">
        <v>37761</v>
      </c>
      <c r="Z10" s="13">
        <f t="shared" si="13"/>
        <v>7</v>
      </c>
      <c r="AA10" s="13">
        <f t="shared" si="14"/>
        <v>10</v>
      </c>
      <c r="AB10" s="13">
        <f t="shared" si="15"/>
        <v>6</v>
      </c>
      <c r="AC10" s="12">
        <f t="shared" si="16"/>
        <v>268</v>
      </c>
      <c r="AD10" s="20">
        <f t="shared" si="18"/>
        <v>157</v>
      </c>
      <c r="AE10" s="20">
        <f t="shared" si="18"/>
        <v>111</v>
      </c>
      <c r="AF10" s="13">
        <v>8</v>
      </c>
      <c r="AG10" s="13">
        <v>4</v>
      </c>
      <c r="AH10" s="13">
        <v>2</v>
      </c>
      <c r="AI10" s="13">
        <v>9</v>
      </c>
      <c r="AJ10" s="13">
        <v>12</v>
      </c>
      <c r="AK10" s="13">
        <v>9</v>
      </c>
      <c r="AN10" s="13">
        <v>5</v>
      </c>
      <c r="AO10" s="13">
        <v>2</v>
      </c>
      <c r="AP10" s="13">
        <v>12</v>
      </c>
      <c r="AQ10" s="13">
        <v>3</v>
      </c>
      <c r="AR10" s="13">
        <v>13</v>
      </c>
      <c r="AS10" s="13">
        <v>6</v>
      </c>
      <c r="AT10" s="13">
        <v>3</v>
      </c>
      <c r="AU10" s="13">
        <v>15</v>
      </c>
      <c r="AV10" s="13">
        <v>90</v>
      </c>
      <c r="AW10" s="2" t="str">
        <f>IFERROR(INDEX(measureables!$A:$J,MATCH($A10,measureables!$A:$A,FALSE),7), "")</f>
        <v>6' 9''</v>
      </c>
      <c r="AX10" s="2">
        <f>IFERROR(INDEX(measureables!$A:$J,MATCH($A10,measureables!$A:$A,FALSE),9), "")</f>
        <v>230</v>
      </c>
      <c r="AY10" s="2">
        <f>IFERROR(INDEX(measureables!$A:$J,MATCH($A10,measureables!$A:$A,FALSE),10), "")</f>
        <v>0</v>
      </c>
      <c r="AZ10" s="2">
        <f>IFERROR(INDEX(measureables!$A:$J,MATCH($A10,measureables!$A:$A,FALSE),8), "")</f>
        <v>0</v>
      </c>
      <c r="BA10" t="str">
        <f t="shared" si="19"/>
        <v xml:space="preserve">  &lt;li&gt;&lt;b&gt;&lt;a 
    target='_blank' href='https://www.nba.com/draft/2022/prospects/jeremy-sochan'&gt;Jeremy Sochan&lt;/a&gt;&lt;/b&gt;
    - &lt;i&gt;
    &lt;a target='_blank' href='https://www.nbadraft.net/players/jeremy-sochan'&gt;PF &lt;/a&gt;&lt;/b&gt;
    - 
    &lt;a target='_blank'href='https://www.sports-reference.com/cbb/players/jeremy-sochan-1.html'&gt;Baylor&lt;/a&gt;&lt;/b&gt; &lt;/i&gt;&lt;/li&gt;
  &lt;ul style='list-style-type:none'&gt;
    &lt;li&gt;Grade: Freshman &lt;/li&gt;
    &lt;li&gt;Age: 19.1 &lt;/li&gt;
    &lt;li&gt;Height: 81 in &lt;/li&gt;
    &lt;li&gt;Weight: 230 lbs &lt;/li&gt;
    &lt;li&gt;++: defensive versatility &lt;/li&gt;
    &lt;li&gt;+: age, size, motor &lt;/li&gt;
    &lt;li&gt;-: playmaking &lt;/li&gt;
    &lt;li&gt;--: shooting &lt;/li&gt;
    &lt;li&gt;Additional Notes: best defensive wing in the draft, but a dicey offensive projection &lt;/li&gt;
  &lt;/ul&gt;
  &lt;br&gt;</v>
      </c>
    </row>
    <row r="11" spans="1:53" ht="22" customHeight="1" x14ac:dyDescent="0.2">
      <c r="A11" t="s">
        <v>196</v>
      </c>
      <c r="B11" t="s">
        <v>16</v>
      </c>
      <c r="C11" s="3" t="s">
        <v>287</v>
      </c>
      <c r="D11" s="3" t="s">
        <v>66</v>
      </c>
      <c r="E11" s="9">
        <f t="shared" si="4"/>
        <v>20.0116036505867</v>
      </c>
      <c r="F11" s="7">
        <f t="shared" si="5"/>
        <v>78</v>
      </c>
      <c r="G11" s="7">
        <f t="shared" si="6"/>
        <v>204.6</v>
      </c>
      <c r="H11" s="7">
        <f t="shared" si="7"/>
        <v>81</v>
      </c>
      <c r="I11" s="7">
        <f t="shared" si="8"/>
        <v>104</v>
      </c>
      <c r="J11" s="7" t="str">
        <f t="shared" si="9"/>
        <v>+3</v>
      </c>
      <c r="K11" s="9">
        <f t="shared" si="10"/>
        <v>1.1666666666666667</v>
      </c>
      <c r="M11" s="3" t="s">
        <v>404</v>
      </c>
      <c r="N11" s="3" t="s">
        <v>405</v>
      </c>
      <c r="P11" s="3" t="s">
        <v>406</v>
      </c>
      <c r="Q11" s="19">
        <v>52.7</v>
      </c>
      <c r="R11" s="3">
        <f t="shared" si="17"/>
        <v>6</v>
      </c>
      <c r="S11" s="7">
        <f>IFERROR(IF(FLOOR(Q11,1)=FLOOR(Q10,1),S10, MAX(S$5:S10)+1),1)</f>
        <v>2</v>
      </c>
      <c r="T11" s="7">
        <f>IFERROR(INDEX(actual!A:A,MATCH(A11,actual!B:B,FALSE)), "")</f>
        <v>6</v>
      </c>
      <c r="U11" s="7" t="str">
        <f>IFERROR(INDEX(actual!C:C,MATCH(A11,actual!B:B,FALSE)), "")</f>
        <v>IND</v>
      </c>
      <c r="V11" s="4" t="str">
        <f t="shared" si="20"/>
        <v>https://www.sports-reference.com/cbb/players/bennedict-mathurin-1.html</v>
      </c>
      <c r="W11" s="4" t="str">
        <f t="shared" si="11"/>
        <v>https://www.nbadraft.net/players/bennedict-mathurin</v>
      </c>
      <c r="X11" s="17" t="str">
        <f t="shared" si="12"/>
        <v>https://www.nba.com/draft/2022/prospects/bennedict-mathurin</v>
      </c>
      <c r="Y11" s="10">
        <v>37426</v>
      </c>
      <c r="Z11" s="13">
        <f t="shared" si="13"/>
        <v>5</v>
      </c>
      <c r="AA11" s="13">
        <f t="shared" si="14"/>
        <v>6</v>
      </c>
      <c r="AB11" s="13">
        <f t="shared" si="15"/>
        <v>5</v>
      </c>
      <c r="AC11" s="12">
        <f t="shared" si="16"/>
        <v>221</v>
      </c>
      <c r="AD11" s="20">
        <f t="shared" si="18"/>
        <v>122</v>
      </c>
      <c r="AE11" s="20">
        <f t="shared" si="18"/>
        <v>99</v>
      </c>
      <c r="AF11" s="13">
        <v>5</v>
      </c>
      <c r="AG11" s="13">
        <v>3</v>
      </c>
      <c r="AH11" s="13">
        <v>9</v>
      </c>
      <c r="AI11" s="13">
        <v>7</v>
      </c>
      <c r="AJ11" s="13">
        <v>7</v>
      </c>
      <c r="AK11" s="13">
        <v>14</v>
      </c>
      <c r="AL11" s="13">
        <v>14</v>
      </c>
      <c r="AN11" s="13">
        <v>7</v>
      </c>
      <c r="AO11" s="13">
        <v>2</v>
      </c>
      <c r="AP11" s="13">
        <v>6</v>
      </c>
      <c r="AQ11" s="13">
        <v>3</v>
      </c>
      <c r="AR11" s="13">
        <v>8</v>
      </c>
      <c r="AS11" s="13">
        <v>5</v>
      </c>
      <c r="AT11" s="13">
        <v>3</v>
      </c>
      <c r="AU11" s="13">
        <v>8</v>
      </c>
      <c r="AV11" s="13">
        <v>91</v>
      </c>
      <c r="AW11" s="2" t="str">
        <f>IFERROR(INDEX(measureables!$A:$J,MATCH($A11,measureables!$A:$A,FALSE),7), "")</f>
        <v>6' 6.00''</v>
      </c>
      <c r="AX11" s="2">
        <f>IFERROR(INDEX(measureables!$A:$J,MATCH($A11,measureables!$A:$A,FALSE),9), "")</f>
        <v>204.6</v>
      </c>
      <c r="AY11" s="2" t="str">
        <f>IFERROR(INDEX(measureables!$A:$J,MATCH($A11,measureables!$A:$A,FALSE),10), "")</f>
        <v>6' 9.00''</v>
      </c>
      <c r="AZ11" s="2" t="str">
        <f>IFERROR(INDEX(measureables!$A:$J,MATCH($A11,measureables!$A:$A,FALSE),8), "")</f>
        <v>8' 8.00''</v>
      </c>
      <c r="BA11" t="str">
        <f t="shared" si="19"/>
        <v xml:space="preserve">  &lt;li&gt;&lt;b&gt;&lt;a 
    target='_blank' href='https://www.nba.com/draft/2022/prospects/bennedict-mathurin'&gt;Bennedict Mathurin&lt;/a&gt;&lt;/b&gt;
    - &lt;i&gt;
    &lt;a target='_blank' href='https://www.nbadraft.net/players/bennedict-mathurin'&gt;SG &lt;/a&gt;&lt;/b&gt;
    - 
    &lt;a target='_blank'href='https://www.sports-reference.com/cbb/players/bennedict-mathurin-1.html'&gt;Arizona&lt;/a&gt;&lt;/b&gt; &lt;/i&gt;&lt;/li&gt;
  &lt;ul style='list-style-type:none'&gt;
    &lt;li&gt;Grade: Sophomore &lt;/li&gt;
    &lt;li&gt;Age: 20 &lt;/li&gt;
    &lt;li&gt;Height: 78 in &lt;/li&gt;
    &lt;li&gt;Weight: 204.6 lbs &lt;/li&gt;
    &lt;li&gt;Wingspan: 81 in &lt;/li&gt;
    &lt;li&gt;Reach: 104 in &lt;/li&gt;
    &lt;li&gt;Ape: +3 &lt;/li&gt;
    &lt;li&gt;+: age, shooting, size, athleticism &lt;/li&gt;
    &lt;li&gt;-: defensive (not a true negative, but not enough of a positive to be an ideal 3+D guy), offensive creation &lt;/li&gt;
    &lt;li&gt;Additional Notes: safe bet to be an NBA contributor, but may fit better as a secondary wing on both sides of the ball &lt;/li&gt;
  &lt;/ul&gt;
  &lt;br&gt;</v>
      </c>
    </row>
    <row r="12" spans="1:53" ht="22" customHeight="1" x14ac:dyDescent="0.2">
      <c r="A12" t="s">
        <v>268</v>
      </c>
      <c r="B12" t="s">
        <v>15</v>
      </c>
      <c r="C12" s="3" t="s">
        <v>283</v>
      </c>
      <c r="D12" s="3" t="s">
        <v>66</v>
      </c>
      <c r="E12" s="9">
        <f t="shared" si="4"/>
        <v>20.356584093872229</v>
      </c>
      <c r="F12" s="7">
        <f t="shared" si="5"/>
        <v>76</v>
      </c>
      <c r="G12" s="7">
        <f t="shared" si="6"/>
        <v>195</v>
      </c>
      <c r="H12" s="7" t="str">
        <f t="shared" si="7"/>
        <v/>
      </c>
      <c r="I12" s="7" t="str">
        <f t="shared" si="8"/>
        <v/>
      </c>
      <c r="J12" s="7" t="str">
        <f t="shared" si="9"/>
        <v/>
      </c>
      <c r="K12" s="9" t="str">
        <f t="shared" si="10"/>
        <v/>
      </c>
      <c r="L12" s="3" t="s">
        <v>398</v>
      </c>
      <c r="M12" s="3" t="s">
        <v>400</v>
      </c>
      <c r="N12" s="3" t="s">
        <v>399</v>
      </c>
      <c r="P12" s="3" t="s">
        <v>426</v>
      </c>
      <c r="Q12" s="19">
        <v>52.6</v>
      </c>
      <c r="R12" s="3">
        <f t="shared" si="17"/>
        <v>7</v>
      </c>
      <c r="S12" s="7">
        <f>IFERROR(IF(FLOOR(Q12,1)=FLOOR(Q11,1),S11, MAX(S$5:S11)+1),1)</f>
        <v>2</v>
      </c>
      <c r="T12" s="7">
        <f>IFERROR(INDEX(actual!A:A,MATCH(A12,actual!B:B,FALSE)), "")</f>
        <v>5</v>
      </c>
      <c r="U12" s="7" t="str">
        <f>IFERROR(INDEX(actual!C:C,MATCH(A12,actual!B:B,FALSE)), "")</f>
        <v>DET</v>
      </c>
      <c r="V12" s="4" t="str">
        <f t="shared" si="20"/>
        <v>https://www.sports-reference.com/cbb/players/jaden-ivey-1.html</v>
      </c>
      <c r="W12" s="4" t="str">
        <f t="shared" si="11"/>
        <v>https://www.nbadraft.net/players/jaden-ivey</v>
      </c>
      <c r="X12" s="17" t="str">
        <f t="shared" si="12"/>
        <v>https://www.nba.com/draft/2022/prospects/jaden-ivey</v>
      </c>
      <c r="Y12" s="10">
        <v>37300</v>
      </c>
      <c r="Z12" s="13">
        <f t="shared" si="13"/>
        <v>11</v>
      </c>
      <c r="AA12" s="13">
        <f t="shared" si="14"/>
        <v>4</v>
      </c>
      <c r="AB12" s="13">
        <f t="shared" si="15"/>
        <v>23</v>
      </c>
      <c r="AC12" s="12">
        <f t="shared" si="16"/>
        <v>392</v>
      </c>
      <c r="AD12" s="20">
        <f t="shared" si="18"/>
        <v>97</v>
      </c>
      <c r="AE12" s="20">
        <f t="shared" si="18"/>
        <v>295</v>
      </c>
      <c r="AF12" s="13">
        <v>3</v>
      </c>
      <c r="AG12" s="13">
        <v>2</v>
      </c>
      <c r="AH12" s="13">
        <v>46</v>
      </c>
      <c r="AI12" s="13">
        <v>12</v>
      </c>
      <c r="AJ12" s="13">
        <v>13</v>
      </c>
      <c r="AK12" s="13">
        <v>15</v>
      </c>
      <c r="AL12" s="13">
        <v>33</v>
      </c>
      <c r="AN12" s="13">
        <v>8</v>
      </c>
      <c r="AO12" s="13">
        <v>2</v>
      </c>
      <c r="AP12" s="13">
        <v>4</v>
      </c>
      <c r="AQ12" s="13">
        <v>2</v>
      </c>
      <c r="AR12" s="13">
        <v>5</v>
      </c>
      <c r="AS12" s="13">
        <v>4</v>
      </c>
      <c r="AT12" s="13">
        <v>2</v>
      </c>
      <c r="AU12" s="13">
        <v>4</v>
      </c>
      <c r="AV12" s="13">
        <v>87</v>
      </c>
      <c r="AW12" s="2" t="str">
        <f>IFERROR(INDEX(measureables!$A:$J,MATCH($A12,measureables!$A:$A,FALSE),7), "")</f>
        <v>6' 4''</v>
      </c>
      <c r="AX12" s="2">
        <f>IFERROR(INDEX(measureables!$A:$J,MATCH($A12,measureables!$A:$A,FALSE),9), "")</f>
        <v>195</v>
      </c>
      <c r="AY12" s="2">
        <f>IFERROR(INDEX(measureables!$A:$J,MATCH($A12,measureables!$A:$A,FALSE),10), "")</f>
        <v>0</v>
      </c>
      <c r="AZ12" s="2">
        <f>IFERROR(INDEX(measureables!$A:$J,MATCH($A12,measureables!$A:$A,FALSE),8), "")</f>
        <v>0</v>
      </c>
      <c r="BA12" t="str">
        <f t="shared" si="19"/>
        <v xml:space="preserve">  &lt;li&gt;&lt;b&gt;&lt;a 
    target='_blank' href='https://www.nba.com/draft/2022/prospects/jaden-ivey'&gt;Jaden Ivey&lt;/a&gt;&lt;/b&gt;
    - &lt;i&gt;
    &lt;a target='_blank' href='https://www.nbadraft.net/players/jaden-ivey'&gt;PG &lt;/a&gt;&lt;/b&gt;
    - 
    &lt;a target='_blank'href='https://www.sports-reference.com/cbb/players/jaden-ivey-1.html'&gt;Purdue&lt;/a&gt;&lt;/b&gt; &lt;/i&gt;&lt;/li&gt;
  &lt;ul style='list-style-type:none'&gt;
    &lt;li&gt;Grade: Sophomore &lt;/li&gt;
    &lt;li&gt;Age: 20.4 &lt;/li&gt;
    &lt;li&gt;Height: 76 in &lt;/li&gt;
    &lt;li&gt;Weight: 195 lbs &lt;/li&gt;
    &lt;li&gt;++: athleticism, shot creation &lt;/li&gt;
    &lt;li&gt;+: dribble penetration &lt;/li&gt;
    &lt;li&gt;-: decision making, defensive motor, offensive creation &lt;/li&gt;
    &lt;li&gt;Additional Notes: phreak athlete, but best role is likely a volume scoring 6th man, which isn't a great archtype to chase. That said, his 99th percentile upside of a primary offensive engine is one of the highest in the draft &lt;/li&gt;
  &lt;/ul&gt;
  &lt;br&gt;</v>
      </c>
    </row>
    <row r="13" spans="1:53" ht="22" customHeight="1" x14ac:dyDescent="0.2">
      <c r="A13" t="s">
        <v>263</v>
      </c>
      <c r="B13" t="s">
        <v>13</v>
      </c>
      <c r="C13" s="3" t="s">
        <v>79</v>
      </c>
      <c r="D13" s="3" t="s">
        <v>66</v>
      </c>
      <c r="E13" s="9">
        <f t="shared" si="4"/>
        <v>21.841923580526128</v>
      </c>
      <c r="F13" s="7">
        <f t="shared" si="5"/>
        <v>80</v>
      </c>
      <c r="G13" s="7">
        <f t="shared" si="6"/>
        <v>215</v>
      </c>
      <c r="H13" s="7">
        <f t="shared" si="7"/>
        <v>83</v>
      </c>
      <c r="I13" s="7" t="str">
        <f t="shared" si="8"/>
        <v/>
      </c>
      <c r="J13" s="7" t="str">
        <f t="shared" si="9"/>
        <v>+3</v>
      </c>
      <c r="K13" s="9">
        <f t="shared" si="10"/>
        <v>1.1499999999999999</v>
      </c>
      <c r="L13" s="3" t="s">
        <v>407</v>
      </c>
      <c r="M13" s="3" t="s">
        <v>408</v>
      </c>
      <c r="N13" s="3" t="s">
        <v>402</v>
      </c>
      <c r="O13" s="3" t="s">
        <v>385</v>
      </c>
      <c r="P13" s="3" t="s">
        <v>409</v>
      </c>
      <c r="Q13" s="19">
        <v>52.5</v>
      </c>
      <c r="R13" s="3">
        <f t="shared" si="17"/>
        <v>8</v>
      </c>
      <c r="S13" s="7">
        <f>IFERROR(IF(FLOOR(Q13,1)=FLOOR(Q12,1),S12, MAX(S$5:S12)+1),1)</f>
        <v>2</v>
      </c>
      <c r="T13" s="7">
        <f>IFERROR(INDEX(actual!A:A,MATCH(A13,actual!B:B,FALSE)), "")</f>
        <v>4</v>
      </c>
      <c r="U13" s="7" t="str">
        <f>IFERROR(INDEX(actual!C:C,MATCH(A13,actual!B:B,FALSE)), "")</f>
        <v>SAC</v>
      </c>
      <c r="V13" s="4" t="str">
        <f t="shared" si="20"/>
        <v>https://www.sports-reference.com/cbb/players/keegan-murray-1.html</v>
      </c>
      <c r="W13" s="4" t="str">
        <f t="shared" si="11"/>
        <v>https://www.nbadraft.net/players/keegan-murray</v>
      </c>
      <c r="X13" s="17" t="str">
        <f t="shared" si="12"/>
        <v>https://www.nba.com/draft/2022/prospects/keegan-murray</v>
      </c>
      <c r="Y13" s="10">
        <v>36757</v>
      </c>
      <c r="Z13" s="13">
        <f t="shared" si="13"/>
        <v>8</v>
      </c>
      <c r="AA13" s="13">
        <f t="shared" si="14"/>
        <v>9</v>
      </c>
      <c r="AB13" s="13">
        <f t="shared" si="15"/>
        <v>9</v>
      </c>
      <c r="AC13" s="12">
        <f t="shared" si="16"/>
        <v>290</v>
      </c>
      <c r="AD13" s="20">
        <f t="shared" si="18"/>
        <v>138</v>
      </c>
      <c r="AE13" s="20">
        <f t="shared" si="18"/>
        <v>152</v>
      </c>
      <c r="AF13" s="13">
        <v>7</v>
      </c>
      <c r="AG13" s="13">
        <v>3</v>
      </c>
      <c r="AH13" s="13">
        <v>13</v>
      </c>
      <c r="AI13" s="13">
        <v>3</v>
      </c>
      <c r="AJ13" s="13">
        <v>28</v>
      </c>
      <c r="AK13" s="13">
        <v>6</v>
      </c>
      <c r="AL13" s="13">
        <v>4</v>
      </c>
      <c r="AN13" s="13">
        <v>12</v>
      </c>
      <c r="AO13" s="13">
        <v>2</v>
      </c>
      <c r="AP13" s="13">
        <v>9</v>
      </c>
      <c r="AQ13" s="13">
        <v>3</v>
      </c>
      <c r="AR13" s="13">
        <v>6</v>
      </c>
      <c r="AS13" s="13">
        <v>8</v>
      </c>
      <c r="AT13" s="13">
        <v>3</v>
      </c>
      <c r="AU13" s="13">
        <v>5</v>
      </c>
      <c r="AW13" s="2" t="str">
        <f>IFERROR(INDEX(measureables!$A:$J,MATCH($A13,measureables!$A:$A,FALSE),7), "")</f>
        <v>6' 8''</v>
      </c>
      <c r="AX13" s="2">
        <f>IFERROR(INDEX(measureables!$A:$J,MATCH($A13,measureables!$A:$A,FALSE),9), "")</f>
        <v>215</v>
      </c>
      <c r="AY13" s="2" t="str">
        <f>IFERROR(INDEX(measureables!$A:$J,MATCH($A13,measureables!$A:$A,FALSE),10), "")</f>
        <v>6' 11''</v>
      </c>
      <c r="AZ13" s="2">
        <f>IFERROR(INDEX(measureables!$A:$J,MATCH($A13,measureables!$A:$A,FALSE),8), "")</f>
        <v>0</v>
      </c>
      <c r="BA13" t="str">
        <f t="shared" si="19"/>
        <v xml:space="preserve">  &lt;li&gt;&lt;b&gt;&lt;a 
    target='_blank' href='https://www.nba.com/draft/2022/prospects/keegan-murray'&gt;Keegan Murray&lt;/a&gt;&lt;/b&gt;
    - &lt;i&gt;
    &lt;a target='_blank' href='https://www.nbadraft.net/players/keegan-murray'&gt;PF &lt;/a&gt;&lt;/b&gt;
    - 
    &lt;a target='_blank'href='https://www.sports-reference.com/cbb/players/keegan-murray-1.html'&gt;Iowa&lt;/a&gt;&lt;/b&gt; &lt;/i&gt;&lt;/li&gt;
  &lt;ul style='list-style-type:none'&gt;
    &lt;li&gt;Grade: Sophomore &lt;/li&gt;
    &lt;li&gt;Age: 21.8 &lt;/li&gt;
    &lt;li&gt;Height: 80 in &lt;/li&gt;
    &lt;li&gt;Weight: 215 lbs &lt;/li&gt;
    &lt;li&gt;Wingspan: 83 in &lt;/li&gt;
    &lt;li&gt;Ape: +3 &lt;/li&gt;
    &lt;li&gt;++: offensive production &lt;/li&gt;
    &lt;li&gt;+: motor, positioning &lt;/li&gt;
    &lt;li&gt;-: athleticism &lt;/li&gt;
    &lt;li&gt;--: age &lt;/li&gt;
    &lt;li&gt;Additional Notes: high level scorer against non-elite competition. High floor as rotational player who should be able to score against second units at the very least. Also he looks a lot like Brandon Clarke, and maybe plays a little like him &lt;/li&gt;
  &lt;/ul&gt;
  &lt;br&gt;</v>
      </c>
    </row>
    <row r="14" spans="1:53" ht="22" customHeight="1" x14ac:dyDescent="0.2">
      <c r="A14" t="s">
        <v>155</v>
      </c>
      <c r="B14" t="s">
        <v>13</v>
      </c>
      <c r="C14" s="3" t="s">
        <v>76</v>
      </c>
      <c r="D14" s="3" t="s">
        <v>66</v>
      </c>
      <c r="E14" s="9">
        <f t="shared" si="4"/>
        <v>21.121095208462972</v>
      </c>
      <c r="F14" s="7">
        <f t="shared" si="5"/>
        <v>80</v>
      </c>
      <c r="G14" s="7">
        <f t="shared" si="6"/>
        <v>217.4</v>
      </c>
      <c r="H14" s="7">
        <f t="shared" si="7"/>
        <v>86</v>
      </c>
      <c r="I14" s="7">
        <f t="shared" si="8"/>
        <v>107.5</v>
      </c>
      <c r="J14" s="7" t="str">
        <f t="shared" si="9"/>
        <v>+6</v>
      </c>
      <c r="K14" s="9">
        <f t="shared" si="10"/>
        <v>1.3</v>
      </c>
      <c r="L14" s="3" t="s">
        <v>410</v>
      </c>
      <c r="M14" s="3" t="s">
        <v>411</v>
      </c>
      <c r="N14" s="3" t="s">
        <v>412</v>
      </c>
      <c r="P14" s="3" t="s">
        <v>436</v>
      </c>
      <c r="Q14" s="19">
        <v>52.4</v>
      </c>
      <c r="R14" s="3">
        <f t="shared" si="17"/>
        <v>9</v>
      </c>
      <c r="S14" s="7">
        <f>IFERROR(IF(FLOOR(Q14,1)=FLOOR(Q13,1),S13, MAX(S$5:S13)+1),1)</f>
        <v>2</v>
      </c>
      <c r="T14" s="7">
        <f>IFERROR(INDEX(actual!A:A,MATCH(A14,actual!B:B,FALSE)), "")</f>
        <v>17</v>
      </c>
      <c r="U14" s="7" t="str">
        <f>IFERROR(INDEX(actual!C:C,MATCH(A14,actual!B:B,FALSE)), "")</f>
        <v>HOU</v>
      </c>
      <c r="V14" s="4" t="str">
        <f t="shared" si="20"/>
        <v>https://www.sports-reference.com/cbb/players/tari-eason-1.html</v>
      </c>
      <c r="W14" s="4" t="str">
        <f t="shared" si="11"/>
        <v>https://www.nbadraft.net/players/tari-eason</v>
      </c>
      <c r="X14" s="17" t="str">
        <f t="shared" si="12"/>
        <v>https://www.nba.com/draft/2022/prospects/tari-eason</v>
      </c>
      <c r="Y14" s="10">
        <v>37021</v>
      </c>
      <c r="Z14" s="13">
        <f t="shared" si="13"/>
        <v>12</v>
      </c>
      <c r="AA14" s="13">
        <f t="shared" si="14"/>
        <v>12</v>
      </c>
      <c r="AB14" s="13">
        <f t="shared" si="15"/>
        <v>15</v>
      </c>
      <c r="AC14" s="12">
        <f t="shared" si="16"/>
        <v>415</v>
      </c>
      <c r="AD14" s="20">
        <f t="shared" si="18"/>
        <v>197</v>
      </c>
      <c r="AE14" s="20">
        <f t="shared" si="18"/>
        <v>218</v>
      </c>
      <c r="AF14" s="13">
        <v>16</v>
      </c>
      <c r="AG14" s="13">
        <v>5</v>
      </c>
      <c r="AH14" s="13">
        <v>7</v>
      </c>
      <c r="AI14" s="13">
        <v>8</v>
      </c>
      <c r="AJ14" s="13">
        <v>41</v>
      </c>
      <c r="AK14" s="13">
        <v>11</v>
      </c>
      <c r="AL14" s="13">
        <v>40</v>
      </c>
      <c r="AN14" s="13">
        <v>9</v>
      </c>
      <c r="AO14" s="13">
        <v>2</v>
      </c>
      <c r="AP14" s="13">
        <v>10</v>
      </c>
      <c r="AQ14" s="13">
        <v>3</v>
      </c>
      <c r="AR14" s="13">
        <v>16</v>
      </c>
      <c r="AS14" s="13">
        <v>13</v>
      </c>
      <c r="AT14" s="13">
        <v>4</v>
      </c>
      <c r="AU14" s="13">
        <v>17</v>
      </c>
      <c r="AV14" s="13">
        <v>93</v>
      </c>
      <c r="AW14" s="2" t="str">
        <f>IFERROR(INDEX(measureables!$A:$J,MATCH($A14,measureables!$A:$A,FALSE),7), "")</f>
        <v>6' 8.00''</v>
      </c>
      <c r="AX14" s="2">
        <f>IFERROR(INDEX(measureables!$A:$J,MATCH($A14,measureables!$A:$A,FALSE),9), "")</f>
        <v>217.4</v>
      </c>
      <c r="AY14" s="2" t="str">
        <f>IFERROR(INDEX(measureables!$A:$J,MATCH($A14,measureables!$A:$A,FALSE),10), "")</f>
        <v>7' 2.00''</v>
      </c>
      <c r="AZ14" s="2" t="str">
        <f>IFERROR(INDEX(measureables!$A:$J,MATCH($A14,measureables!$A:$A,FALSE),8), "")</f>
        <v>8' 11.50''</v>
      </c>
      <c r="BA14" t="str">
        <f t="shared" si="19"/>
        <v xml:space="preserve">  &lt;li&gt;&lt;b&gt;&lt;a 
    target='_blank' href='https://www.nba.com/draft/2022/prospects/tari-eason'&gt;Tari Eason&lt;/a&gt;&lt;/b&gt;
    - &lt;i&gt;
    &lt;a target='_blank' href='https://www.nbadraft.net/players/tari-eason'&gt;PF &lt;/a&gt;&lt;/b&gt;
    - 
    &lt;a target='_blank'href='https://www.sports-reference.com/cbb/players/tari-eason-1.html'&gt;LSU&lt;/a&gt;&lt;/b&gt; &lt;/i&gt;&lt;/li&gt;
  &lt;ul style='list-style-type:none'&gt;
    &lt;li&gt;Grade: Sophomore &lt;/li&gt;
    &lt;li&gt;Age: 21.1 &lt;/li&gt;
    &lt;li&gt;Height: 80 in &lt;/li&gt;
    &lt;li&gt;Weight: 217.4 lbs &lt;/li&gt;
    &lt;li&gt;Wingspan: 86 in &lt;/li&gt;
    &lt;li&gt;Reach: 107.5 in &lt;/li&gt;
    &lt;li&gt;Ape: +6 &lt;/li&gt;
    &lt;li&gt;++: enegy, defense &lt;/li&gt;
    &lt;li&gt;+: rim attacking &lt;/li&gt;
    &lt;li&gt;-: wildness, fouling, shooting, age &lt;/li&gt;
    &lt;li&gt;Additional Notes: high energy wing with a defense first mindset, but plays a little out of control and is older than the other wings in this tier &lt;/li&gt;
  &lt;/ul&gt;
  &lt;br&gt;</v>
      </c>
    </row>
    <row r="15" spans="1:53" ht="22" customHeight="1" x14ac:dyDescent="0.2">
      <c r="A15" t="s">
        <v>271</v>
      </c>
      <c r="B15" t="s">
        <v>14</v>
      </c>
      <c r="C15" s="3" t="s">
        <v>69</v>
      </c>
      <c r="D15" s="3" t="s">
        <v>19</v>
      </c>
      <c r="E15" s="9">
        <f t="shared" si="4"/>
        <v>18.828199863107461</v>
      </c>
      <c r="F15" s="7">
        <f t="shared" si="5"/>
        <v>78</v>
      </c>
      <c r="G15" s="7">
        <f t="shared" si="6"/>
        <v>222</v>
      </c>
      <c r="H15" s="7">
        <f t="shared" si="7"/>
        <v>83</v>
      </c>
      <c r="I15" s="7" t="str">
        <f t="shared" si="8"/>
        <v/>
      </c>
      <c r="J15" s="7" t="str">
        <f t="shared" si="9"/>
        <v>+5</v>
      </c>
      <c r="K15" s="9">
        <f t="shared" si="10"/>
        <v>1.2777777777777777</v>
      </c>
      <c r="L15" s="3" t="s">
        <v>385</v>
      </c>
      <c r="M15" s="3" t="s">
        <v>437</v>
      </c>
      <c r="N15" s="3" t="s">
        <v>438</v>
      </c>
      <c r="P15" s="3" t="s">
        <v>439</v>
      </c>
      <c r="Q15" s="19">
        <v>52.3</v>
      </c>
      <c r="R15" s="3">
        <f t="shared" si="17"/>
        <v>10</v>
      </c>
      <c r="S15" s="7">
        <f>IFERROR(IF(FLOOR(Q15,1)=FLOOR(Q14,1),S14, MAX(S$5:S14)+1),1)</f>
        <v>2</v>
      </c>
      <c r="T15" s="7">
        <f>IFERROR(INDEX(actual!A:A,MATCH(A15,actual!B:B,FALSE)), "")</f>
        <v>16</v>
      </c>
      <c r="U15" s="7" t="str">
        <f>IFERROR(INDEX(actual!C:C,MATCH(A15,actual!B:B,FALSE)), "")</f>
        <v>ATL</v>
      </c>
      <c r="V15" s="4" t="str">
        <f t="shared" si="20"/>
        <v>https://www.sports-reference.com/cbb/players/aj-griffin-1.html</v>
      </c>
      <c r="W15" s="4" t="str">
        <f t="shared" si="11"/>
        <v>https://www.nbadraft.net/players/aj-griffin</v>
      </c>
      <c r="X15" s="16" t="s">
        <v>290</v>
      </c>
      <c r="Y15" s="10">
        <v>37858</v>
      </c>
      <c r="Z15" s="13">
        <f t="shared" si="13"/>
        <v>9</v>
      </c>
      <c r="AA15" s="13">
        <f t="shared" si="14"/>
        <v>11</v>
      </c>
      <c r="AB15" s="13">
        <f t="shared" si="15"/>
        <v>13</v>
      </c>
      <c r="AC15" s="12">
        <f t="shared" si="16"/>
        <v>376</v>
      </c>
      <c r="AD15" s="20">
        <f t="shared" si="18"/>
        <v>170</v>
      </c>
      <c r="AE15" s="20">
        <f t="shared" si="18"/>
        <v>206</v>
      </c>
      <c r="AF15" s="13">
        <v>13</v>
      </c>
      <c r="AG15" s="13">
        <v>5</v>
      </c>
      <c r="AH15" s="13">
        <v>28</v>
      </c>
      <c r="AI15" s="13">
        <v>4</v>
      </c>
      <c r="AJ15" s="13">
        <v>11</v>
      </c>
      <c r="AK15" s="13">
        <v>13</v>
      </c>
      <c r="AN15" s="13">
        <v>14</v>
      </c>
      <c r="AO15" s="13">
        <v>3</v>
      </c>
      <c r="AP15" s="13">
        <v>7</v>
      </c>
      <c r="AQ15" s="13">
        <v>3</v>
      </c>
      <c r="AR15" s="13">
        <v>10</v>
      </c>
      <c r="AS15" s="13">
        <v>11</v>
      </c>
      <c r="AT15" s="13">
        <v>4</v>
      </c>
      <c r="AU15" s="13">
        <v>9</v>
      </c>
      <c r="AV15" s="13">
        <v>18</v>
      </c>
      <c r="AW15" s="2" t="str">
        <f>IFERROR(INDEX(measureables!$A:$J,MATCH($A15,measureables!$A:$A,FALSE),7), "")</f>
        <v>6' 6''</v>
      </c>
      <c r="AX15" s="2">
        <f>IFERROR(INDEX(measureables!$A:$J,MATCH($A15,measureables!$A:$A,FALSE),9), "")</f>
        <v>222</v>
      </c>
      <c r="AY15" s="2" t="str">
        <f>IFERROR(INDEX(measureables!$A:$J,MATCH($A15,measureables!$A:$A,FALSE),10), "")</f>
        <v>6' 11''</v>
      </c>
      <c r="AZ15" s="2">
        <f>IFERROR(INDEX(measureables!$A:$J,MATCH($A15,measureables!$A:$A,FALSE),8), "")</f>
        <v>0</v>
      </c>
      <c r="BA15" t="str">
        <f t="shared" si="19"/>
        <v xml:space="preserve">  &lt;li&gt;&lt;b&gt;&lt;a 
    target='_blank' href='https://www.nba.com/draft/2022/prospects/a-j-griffin'&gt;AJ Griffin&lt;/a&gt;&lt;/b&gt;
    - &lt;i&gt;
    &lt;a target='_blank' href='https://www.nbadraft.net/players/aj-griffin'&gt;SF &lt;/a&gt;&lt;/b&gt;
    - 
    &lt;a target='_blank'href='https://www.sports-reference.com/cbb/players/aj-griffin-1.html'&gt;Duke&lt;/a&gt;&lt;/b&gt; &lt;/i&gt;&lt;/li&gt;
  &lt;ul style='list-style-type:none'&gt;
    &lt;li&gt;Grade: Freshman &lt;/li&gt;
    &lt;li&gt;Age: 18.8 &lt;/li&gt;
    &lt;li&gt;Height: 78 in &lt;/li&gt;
    &lt;li&gt;Weight: 222 lbs &lt;/li&gt;
    &lt;li&gt;Wingspan: 83 in &lt;/li&gt;
    &lt;li&gt;Ape: +5 &lt;/li&gt;
    &lt;li&gt;++: age &lt;/li&gt;
    &lt;li&gt;+: size, shooting &lt;/li&gt;
    &lt;li&gt;-: injury concerns, defense &lt;/li&gt;
    &lt;li&gt;Additional Notes: has the dimensions of a good defender but has yet to play like it; has performed well offensively, but shot doesn't fill the eye test that well &lt;/li&gt;
  &lt;/ul&gt;
  &lt;br&gt;</v>
      </c>
    </row>
    <row r="16" spans="1:53" ht="22" customHeight="1" x14ac:dyDescent="0.2">
      <c r="A16" t="s">
        <v>209</v>
      </c>
      <c r="B16" t="s">
        <v>16</v>
      </c>
      <c r="C16" s="3" t="s">
        <v>75</v>
      </c>
      <c r="D16" s="3" t="s">
        <v>19</v>
      </c>
      <c r="E16" s="9">
        <f t="shared" si="4"/>
        <v>19.066392881587955</v>
      </c>
      <c r="F16" s="7">
        <f t="shared" si="5"/>
        <v>77.25</v>
      </c>
      <c r="G16" s="7">
        <f t="shared" si="6"/>
        <v>198</v>
      </c>
      <c r="H16" s="7">
        <f t="shared" si="7"/>
        <v>83.5</v>
      </c>
      <c r="I16" s="7">
        <f t="shared" si="8"/>
        <v>103.5</v>
      </c>
      <c r="J16" s="7" t="str">
        <f t="shared" si="9"/>
        <v>+6.25</v>
      </c>
      <c r="K16" s="9">
        <f t="shared" si="10"/>
        <v>1.3623188405797102</v>
      </c>
      <c r="L16" s="3" t="s">
        <v>402</v>
      </c>
      <c r="M16" s="3" t="s">
        <v>403</v>
      </c>
      <c r="O16" s="3" t="s">
        <v>401</v>
      </c>
      <c r="P16" s="3" t="s">
        <v>427</v>
      </c>
      <c r="Q16" s="19">
        <v>52.2</v>
      </c>
      <c r="R16" s="3">
        <f t="shared" si="17"/>
        <v>11</v>
      </c>
      <c r="S16" s="7">
        <f>IFERROR(IF(FLOOR(Q16,1)=FLOOR(Q15,1),S15, MAX(S$5:S15)+1),1)</f>
        <v>2</v>
      </c>
      <c r="T16" s="7">
        <f>IFERROR(INDEX(actual!A:A,MATCH(A16,actual!B:B,FALSE)), "")</f>
        <v>7</v>
      </c>
      <c r="U16" s="7" t="str">
        <f>IFERROR(INDEX(actual!C:C,MATCH(A16,actual!B:B,FALSE)), "")</f>
        <v>POR</v>
      </c>
      <c r="V16" s="16" t="s">
        <v>282</v>
      </c>
      <c r="W16" s="4" t="str">
        <f t="shared" si="11"/>
        <v>https://www.nbadraft.net/players/shaedon-sharpe</v>
      </c>
      <c r="X16" s="17" t="str">
        <f t="shared" ref="X16:X27" si="21">HYPERLINK("https://www.nba.com/draft/2022/prospects/" &amp; LOWER(SUBSTITUTE(A16, " ", "-") &amp; ""))</f>
        <v>https://www.nba.com/draft/2022/prospects/shaedon-sharpe</v>
      </c>
      <c r="Y16" s="10">
        <v>37771</v>
      </c>
      <c r="Z16" s="13">
        <f t="shared" si="13"/>
        <v>32</v>
      </c>
      <c r="AA16" s="13">
        <f t="shared" si="14"/>
        <v>5</v>
      </c>
      <c r="AB16" s="13">
        <f t="shared" si="15"/>
        <v>87</v>
      </c>
      <c r="AC16" s="12">
        <f t="shared" si="16"/>
        <v>784</v>
      </c>
      <c r="AD16" s="20">
        <f t="shared" si="18"/>
        <v>121</v>
      </c>
      <c r="AE16" s="20">
        <f t="shared" si="18"/>
        <v>663</v>
      </c>
      <c r="AF16" s="13">
        <v>6</v>
      </c>
      <c r="AG16" s="13">
        <v>3</v>
      </c>
      <c r="AI16" s="13">
        <v>10</v>
      </c>
      <c r="AN16" s="13">
        <v>16</v>
      </c>
      <c r="AO16" s="13">
        <v>3</v>
      </c>
      <c r="AP16" s="13">
        <v>8</v>
      </c>
      <c r="AQ16" s="13">
        <v>3</v>
      </c>
      <c r="AR16" s="13">
        <v>4</v>
      </c>
      <c r="AS16" s="13">
        <v>9</v>
      </c>
      <c r="AT16" s="13">
        <v>3</v>
      </c>
      <c r="AU16" s="13">
        <v>7</v>
      </c>
      <c r="AV16" s="13">
        <v>1</v>
      </c>
      <c r="AW16" s="2" t="str">
        <f>IFERROR(INDEX(measureables!$A:$J,MATCH($A16,measureables!$A:$A,FALSE),7), "")</f>
        <v>6' 5.25''</v>
      </c>
      <c r="AX16" s="2">
        <f>IFERROR(INDEX(measureables!$A:$J,MATCH($A16,measureables!$A:$A,FALSE),9), "")</f>
        <v>198</v>
      </c>
      <c r="AY16" s="2" t="str">
        <f>IFERROR(INDEX(measureables!$A:$J,MATCH($A16,measureables!$A:$A,FALSE),10), "")</f>
        <v>6' 11.50''</v>
      </c>
      <c r="AZ16" s="2" t="str">
        <f>IFERROR(INDEX(measureables!$A:$J,MATCH($A16,measureables!$A:$A,FALSE),8), "")</f>
        <v>8' 7.50''</v>
      </c>
      <c r="BA16" t="str">
        <f t="shared" si="19"/>
        <v xml:space="preserve">  &lt;li&gt;&lt;b&gt;&lt;a 
    target='_blank' href='https://www.nba.com/draft/2022/prospects/shaedon-sharpe'&gt;Shaedon Sharpe&lt;/a&gt;&lt;/b&gt;
    - &lt;i&gt;
    &lt;a target='_blank' href='https://www.nbadraft.net/players/shaedon-sharpe'&gt;SG &lt;/a&gt;&lt;/b&gt;
    - 
    &lt;a target='_blank'href='https://basketball.realgm.com/player/Shaedon-Sharpe/Summary/150554'&gt;Kentucky&lt;/a&gt;&lt;/b&gt; &lt;/i&gt;&lt;/li&gt;
  &lt;ul style='list-style-type:none'&gt;
    &lt;li&gt;Grade: Freshman &lt;/li&gt;
    &lt;li&gt;Age: 19.1 &lt;/li&gt;
    &lt;li&gt;Height: 77.25 in &lt;/li&gt;
    &lt;li&gt;Weight: 198 lbs &lt;/li&gt;
    &lt;li&gt;Wingspan: 83.5 in &lt;/li&gt;
    &lt;li&gt;Reach: 103.5 in &lt;/li&gt;
    &lt;li&gt;Ape: +6.25 &lt;/li&gt;
    &lt;li&gt;++: athleticism &lt;/li&gt;
    &lt;li&gt;+: age, frame, shooting, shot creation &lt;/li&gt;
    &lt;li&gt;--: production, unknowns &lt;/li&gt;
    &lt;li&gt;Additional Notes: at his best, he may have the highest offensive upside in the class, but the chances of reaching that upside are low enough and with a myriad of warts that he misses out on the 55 FV tier, while his monster upside keeps him above the 50 FV tier. Easily the most difficult player to rank from the outside. &lt;/li&gt;
  &lt;/ul&gt;
  &lt;br&gt;</v>
      </c>
    </row>
    <row r="17" spans="1:53" ht="22" customHeight="1" x14ac:dyDescent="0.2">
      <c r="A17" t="s">
        <v>272</v>
      </c>
      <c r="B17" t="s">
        <v>12</v>
      </c>
      <c r="C17" s="3" t="s">
        <v>294</v>
      </c>
      <c r="D17" s="3" t="s">
        <v>19</v>
      </c>
      <c r="E17" s="9">
        <f t="shared" si="4"/>
        <v>18.595482546201232</v>
      </c>
      <c r="F17" s="7">
        <f t="shared" si="5"/>
        <v>82</v>
      </c>
      <c r="G17" s="7">
        <f t="shared" si="6"/>
        <v>230</v>
      </c>
      <c r="H17" s="7">
        <f t="shared" si="7"/>
        <v>89</v>
      </c>
      <c r="I17" s="7" t="str">
        <f t="shared" si="8"/>
        <v/>
      </c>
      <c r="J17" s="7" t="str">
        <f t="shared" si="9"/>
        <v>+7</v>
      </c>
      <c r="K17" s="9">
        <f t="shared" si="10"/>
        <v>1.3181818181818181</v>
      </c>
      <c r="L17" s="3" t="s">
        <v>385</v>
      </c>
      <c r="M17" s="3" t="s">
        <v>440</v>
      </c>
      <c r="N17" s="3" t="s">
        <v>441</v>
      </c>
      <c r="P17" s="3" t="s">
        <v>442</v>
      </c>
      <c r="Q17" s="19">
        <v>50.9</v>
      </c>
      <c r="R17" s="3">
        <f t="shared" si="17"/>
        <v>12</v>
      </c>
      <c r="S17" s="7">
        <f>IFERROR(IF(FLOOR(Q17,1)=FLOOR(Q16,1),S16, MAX(S$5:S16)+1),1)</f>
        <v>3</v>
      </c>
      <c r="T17" s="7">
        <f>IFERROR(INDEX(actual!A:A,MATCH(A17,actual!B:B,FALSE)), "")</f>
        <v>13</v>
      </c>
      <c r="U17" s="7" t="str">
        <f>IFERROR(INDEX(actual!C:C,MATCH(A17,actual!B:B,FALSE)), "")</f>
        <v>DET</v>
      </c>
      <c r="V17" s="4" t="str">
        <f>HYPERLINK(IF(D17="", "https://www.basketball-reference.com/international", "https://www.sports-reference.com/cbb") &amp; "/players/" &amp; LOWER(SUBSTITUTE(A17, " ", "-") &amp; "-1.html"))</f>
        <v>https://www.sports-reference.com/cbb/players/jalen-duren-1.html</v>
      </c>
      <c r="W17" s="4" t="str">
        <f t="shared" si="11"/>
        <v>https://www.nbadraft.net/players/jalen-duren</v>
      </c>
      <c r="X17" s="17" t="str">
        <f t="shared" si="21"/>
        <v>https://www.nba.com/draft/2022/prospects/jalen-duren</v>
      </c>
      <c r="Y17" s="10">
        <v>37943</v>
      </c>
      <c r="Z17" s="13">
        <f t="shared" si="13"/>
        <v>6</v>
      </c>
      <c r="AA17" s="13">
        <f t="shared" si="14"/>
        <v>7</v>
      </c>
      <c r="AB17" s="13">
        <f t="shared" si="15"/>
        <v>8</v>
      </c>
      <c r="AC17" s="12">
        <f t="shared" si="16"/>
        <v>262</v>
      </c>
      <c r="AD17" s="20">
        <f t="shared" si="18"/>
        <v>132</v>
      </c>
      <c r="AE17" s="20">
        <f t="shared" si="18"/>
        <v>130</v>
      </c>
      <c r="AF17" s="13">
        <v>12</v>
      </c>
      <c r="AG17" s="13">
        <v>5</v>
      </c>
      <c r="AH17" s="13">
        <v>20</v>
      </c>
      <c r="AI17" s="13">
        <v>13</v>
      </c>
      <c r="AJ17" s="13">
        <v>4</v>
      </c>
      <c r="AK17" s="13">
        <v>7</v>
      </c>
      <c r="AL17" s="13">
        <v>5</v>
      </c>
      <c r="AN17" s="13">
        <v>6</v>
      </c>
      <c r="AO17" s="13">
        <v>2</v>
      </c>
      <c r="AP17" s="13">
        <v>5</v>
      </c>
      <c r="AQ17" s="13">
        <v>2</v>
      </c>
      <c r="AR17" s="13">
        <v>11</v>
      </c>
      <c r="AS17" s="13">
        <v>12</v>
      </c>
      <c r="AT17" s="13">
        <v>4</v>
      </c>
      <c r="AU17" s="13">
        <v>10</v>
      </c>
      <c r="AV17" s="13">
        <v>5</v>
      </c>
      <c r="AW17" s="2" t="str">
        <f>IFERROR(INDEX(measureables!$A:$J,MATCH($A17,measureables!$A:$A,FALSE),7), "")</f>
        <v>6' 10''</v>
      </c>
      <c r="AX17" s="2">
        <f>IFERROR(INDEX(measureables!$A:$J,MATCH($A17,measureables!$A:$A,FALSE),9), "")</f>
        <v>230</v>
      </c>
      <c r="AY17" s="2" t="str">
        <f>IFERROR(INDEX(measureables!$A:$J,MATCH($A17,measureables!$A:$A,FALSE),10), "")</f>
        <v>7' 5''</v>
      </c>
      <c r="AZ17" s="2">
        <f>IFERROR(INDEX(measureables!$A:$J,MATCH($A17,measureables!$A:$A,FALSE),8), "")</f>
        <v>0</v>
      </c>
      <c r="BA17" t="str">
        <f t="shared" si="19"/>
        <v xml:space="preserve">
  &lt;/ol&gt;
  &lt;h2&gt; Tier 3 (~50+ FV)&lt;/h2&gt;
  &lt;ol start='12 '&gt;
    &lt;li&gt;&lt;b&gt;&lt;a 
    target='_blank' href='https://www.nba.com/draft/2022/prospects/jalen-duren'&gt;Jalen Duren&lt;/a&gt;&lt;/b&gt;
    - &lt;i&gt;
    &lt;a target='_blank' href='https://www.nbadraft.net/players/jalen-duren'&gt;C &lt;/a&gt;&lt;/b&gt;
    - 
    &lt;a target='_blank'href='https://www.sports-reference.com/cbb/players/jalen-duren-1.html'&gt;Memphis&lt;/a&gt;&lt;/b&gt; &lt;/i&gt;&lt;/li&gt;
  &lt;ul style='list-style-type:none'&gt;
    &lt;li&gt;Grade: Freshman &lt;/li&gt;
    &lt;li&gt;Age: 18.6 &lt;/li&gt;
    &lt;li&gt;Height: 82 in &lt;/li&gt;
    &lt;li&gt;Weight: 230 lbs &lt;/li&gt;
    &lt;li&gt;Wingspan: 89 in &lt;/li&gt;
    &lt;li&gt;Ape: +7 &lt;/li&gt;
    &lt;li&gt;++: age &lt;/li&gt;
    &lt;li&gt;+: interior defense, interior offense, athleticism, length &lt;/li&gt;
    &lt;li&gt;-: rawness, offensive potential, basketball IQ &lt;/li&gt;
    &lt;li&gt;Additional Notes: rim runner/defensive anchor starter kit, but needs development to maximize that role &lt;/li&gt;
  &lt;/ul&gt;
  &lt;br&gt;</v>
      </c>
    </row>
    <row r="18" spans="1:53" ht="22" customHeight="1" x14ac:dyDescent="0.2">
      <c r="A18" t="s">
        <v>174</v>
      </c>
      <c r="B18" t="s">
        <v>16</v>
      </c>
      <c r="C18" s="3" t="s">
        <v>287</v>
      </c>
      <c r="D18" s="3" t="s">
        <v>66</v>
      </c>
      <c r="E18" s="9">
        <f t="shared" si="4"/>
        <v>19.948631029986963</v>
      </c>
      <c r="F18" s="7">
        <f t="shared" si="5"/>
        <v>79.25</v>
      </c>
      <c r="G18" s="7">
        <f t="shared" si="6"/>
        <v>195.2</v>
      </c>
      <c r="H18" s="7">
        <f t="shared" si="7"/>
        <v>84.75</v>
      </c>
      <c r="I18" s="7">
        <f t="shared" si="8"/>
        <v>106</v>
      </c>
      <c r="J18" s="7" t="str">
        <f t="shared" si="9"/>
        <v>+5.5</v>
      </c>
      <c r="K18" s="9">
        <f t="shared" si="10"/>
        <v>1.2857142857142858</v>
      </c>
      <c r="M18" s="3" t="s">
        <v>447</v>
      </c>
      <c r="N18" s="3" t="s">
        <v>448</v>
      </c>
      <c r="P18" s="3" t="s">
        <v>449</v>
      </c>
      <c r="Q18" s="19">
        <v>50.8</v>
      </c>
      <c r="R18" s="3">
        <f t="shared" si="17"/>
        <v>13</v>
      </c>
      <c r="S18" s="7">
        <f>IFERROR(IF(FLOOR(Q18,1)=FLOOR(Q17,1),S17, MAX(S$5:S17)+1),1)</f>
        <v>3</v>
      </c>
      <c r="T18" s="7">
        <f>IFERROR(INDEX(actual!A:A,MATCH(A18,actual!B:B,FALSE)), "")</f>
        <v>18</v>
      </c>
      <c r="U18" s="7" t="str">
        <f>IFERROR(INDEX(actual!C:C,MATCH(A18,actual!B:B,FALSE)), "")</f>
        <v>CHI</v>
      </c>
      <c r="V18" s="4" t="str">
        <f>HYPERLINK(IF(D18="", "https://www.basketball-reference.com/international", "https://www.sports-reference.com/cbb") &amp; "/players/" &amp; LOWER(SUBSTITUTE(A18, " ", "-") &amp; "-1.html"))</f>
        <v>https://www.sports-reference.com/cbb/players/dalen-terry-1.html</v>
      </c>
      <c r="W18" s="4" t="str">
        <f t="shared" si="11"/>
        <v>https://www.nbadraft.net/players/dalen-terry</v>
      </c>
      <c r="X18" s="17" t="str">
        <f t="shared" si="21"/>
        <v>https://www.nba.com/draft/2022/prospects/dalen-terry</v>
      </c>
      <c r="Y18" s="10">
        <v>37449</v>
      </c>
      <c r="Z18" s="13">
        <f t="shared" si="13"/>
        <v>15</v>
      </c>
      <c r="AA18" s="13">
        <f t="shared" si="14"/>
        <v>18</v>
      </c>
      <c r="AB18" s="13">
        <f t="shared" si="15"/>
        <v>12</v>
      </c>
      <c r="AC18" s="12">
        <f t="shared" si="16"/>
        <v>485</v>
      </c>
      <c r="AD18" s="20">
        <f t="shared" si="18"/>
        <v>286</v>
      </c>
      <c r="AE18" s="20">
        <f t="shared" si="18"/>
        <v>199</v>
      </c>
      <c r="AF18" s="13">
        <v>18</v>
      </c>
      <c r="AG18" s="13">
        <v>5</v>
      </c>
      <c r="AH18" s="13">
        <v>5</v>
      </c>
      <c r="AI18" s="13">
        <v>27</v>
      </c>
      <c r="AJ18" s="13">
        <v>21</v>
      </c>
      <c r="AK18" s="13">
        <v>22</v>
      </c>
      <c r="AN18" s="13">
        <v>27</v>
      </c>
      <c r="AO18" s="13">
        <v>3</v>
      </c>
      <c r="AP18" s="13">
        <v>15</v>
      </c>
      <c r="AQ18" s="13">
        <v>4</v>
      </c>
      <c r="AR18" s="13">
        <v>26</v>
      </c>
      <c r="AS18" s="13">
        <v>17</v>
      </c>
      <c r="AT18" s="13">
        <v>4</v>
      </c>
      <c r="AU18" s="13">
        <v>25</v>
      </c>
      <c r="AV18" s="13">
        <v>48</v>
      </c>
      <c r="AW18" s="2" t="str">
        <f>IFERROR(INDEX(measureables!$A:$J,MATCH($A18,measureables!$A:$A,FALSE),7), "")</f>
        <v>6' 7.25''</v>
      </c>
      <c r="AX18" s="2">
        <f>IFERROR(INDEX(measureables!$A:$J,MATCH($A18,measureables!$A:$A,FALSE),9), "")</f>
        <v>195.2</v>
      </c>
      <c r="AY18" s="2" t="str">
        <f>IFERROR(INDEX(measureables!$A:$J,MATCH($A18,measureables!$A:$A,FALSE),10), "")</f>
        <v>7' 0.75''</v>
      </c>
      <c r="AZ18" s="2" t="str">
        <f>IFERROR(INDEX(measureables!$A:$J,MATCH($A18,measureables!$A:$A,FALSE),8), "")</f>
        <v>8' 10.00''</v>
      </c>
      <c r="BA18" t="str">
        <f t="shared" si="19"/>
        <v xml:space="preserve">  &lt;li&gt;&lt;b&gt;&lt;a 
    target='_blank' href='https://www.nba.com/draft/2022/prospects/dalen-terry'&gt;Dalen Terry&lt;/a&gt;&lt;/b&gt;
    - &lt;i&gt;
    &lt;a target='_blank' href='https://www.nbadraft.net/players/dalen-terry'&gt;SG &lt;/a&gt;&lt;/b&gt;
    - 
    &lt;a target='_blank'href='https://www.sports-reference.com/cbb/players/dalen-terry-1.html'&gt;Arizona&lt;/a&gt;&lt;/b&gt; &lt;/i&gt;&lt;/li&gt;
  &lt;ul style='list-style-type:none'&gt;
    &lt;li&gt;Grade: Sophomore &lt;/li&gt;
    &lt;li&gt;Age: 19.9 &lt;/li&gt;
    &lt;li&gt;Height: 79.25 in &lt;/li&gt;
    &lt;li&gt;Weight: 195.2 lbs &lt;/li&gt;
    &lt;li&gt;Wingspan: 84.75 in &lt;/li&gt;
    &lt;li&gt;Reach: 106 in &lt;/li&gt;
    &lt;li&gt;Ape: +5.5 &lt;/li&gt;
    &lt;li&gt;+: age, size, secondary ball handling, defensive versatility &lt;/li&gt;
    &lt;li&gt;-: shooting, high level impact &lt;/li&gt;
    &lt;li&gt;Additional Notes: profiles as a versatile wing who can guard multiple positions and act as a secondary ball handler, his upside will ultimately be determined by his shooting &lt;/li&gt;
  &lt;/ul&gt;
  &lt;br&gt;</v>
      </c>
    </row>
    <row r="19" spans="1:53" ht="22" customHeight="1" x14ac:dyDescent="0.2">
      <c r="A19" t="s">
        <v>115</v>
      </c>
      <c r="B19" t="s">
        <v>12</v>
      </c>
      <c r="C19" s="3" t="s">
        <v>74</v>
      </c>
      <c r="D19" s="3" t="s">
        <v>66</v>
      </c>
      <c r="E19" s="9">
        <f t="shared" si="4"/>
        <v>20.910267579340385</v>
      </c>
      <c r="F19" s="7">
        <f t="shared" si="5"/>
        <v>85</v>
      </c>
      <c r="G19" s="7">
        <f t="shared" si="6"/>
        <v>256</v>
      </c>
      <c r="H19" s="7">
        <f t="shared" si="7"/>
        <v>88.25</v>
      </c>
      <c r="I19" s="7">
        <f t="shared" si="8"/>
        <v>113</v>
      </c>
      <c r="J19" s="7" t="str">
        <f t="shared" si="9"/>
        <v>+3.25</v>
      </c>
      <c r="K19" s="9">
        <f t="shared" si="10"/>
        <v>1.1299999999999999</v>
      </c>
      <c r="L19" s="3" t="s">
        <v>454</v>
      </c>
      <c r="M19" s="3" t="s">
        <v>456</v>
      </c>
      <c r="N19" s="3" t="s">
        <v>455</v>
      </c>
      <c r="P19" s="3" t="s">
        <v>457</v>
      </c>
      <c r="Q19" s="19">
        <v>50.7</v>
      </c>
      <c r="R19" s="3">
        <f t="shared" si="17"/>
        <v>14</v>
      </c>
      <c r="S19" s="7">
        <f>IFERROR(IF(FLOOR(Q19,1)=FLOOR(Q18,1),S18, MAX(S$5:S18)+1),1)</f>
        <v>3</v>
      </c>
      <c r="T19" s="7">
        <f>IFERROR(INDEX(actual!A:A,MATCH(A19,actual!B:B,FALSE)), "")</f>
        <v>22</v>
      </c>
      <c r="U19" s="7" t="str">
        <f>IFERROR(INDEX(actual!C:C,MATCH(A19,actual!B:B,FALSE)), "")</f>
        <v>MIN</v>
      </c>
      <c r="V19" s="4" t="str">
        <f>HYPERLINK(IF(D19="", "https://www.basketball-reference.com/international", "https://www.sports-reference.com/cbb") &amp; "/players/" &amp; LOWER(SUBSTITUTE(A19, " ", "-") &amp; "-1.html"))</f>
        <v>https://www.sports-reference.com/cbb/players/walker-kessler-1.html</v>
      </c>
      <c r="W19" s="4" t="str">
        <f t="shared" si="11"/>
        <v>https://www.nbadraft.net/players/walker-kessler</v>
      </c>
      <c r="X19" s="17" t="str">
        <f t="shared" si="21"/>
        <v>https://www.nba.com/draft/2022/prospects/walker-kessler</v>
      </c>
      <c r="Y19" s="10">
        <v>37098</v>
      </c>
      <c r="Z19" s="13">
        <f t="shared" si="13"/>
        <v>13</v>
      </c>
      <c r="AA19" s="13">
        <f t="shared" si="14"/>
        <v>27</v>
      </c>
      <c r="AB19" s="13">
        <f t="shared" si="15"/>
        <v>7</v>
      </c>
      <c r="AC19" s="12">
        <f t="shared" si="16"/>
        <v>463</v>
      </c>
      <c r="AD19" s="20">
        <f t="shared" si="18"/>
        <v>350</v>
      </c>
      <c r="AE19" s="20">
        <f t="shared" si="18"/>
        <v>113</v>
      </c>
      <c r="AF19" s="13">
        <v>37</v>
      </c>
      <c r="AG19" s="13">
        <v>9</v>
      </c>
      <c r="AH19" s="13">
        <v>11</v>
      </c>
      <c r="AI19" s="13">
        <v>6</v>
      </c>
      <c r="AJ19" s="13">
        <v>15</v>
      </c>
      <c r="AK19" s="13">
        <v>2</v>
      </c>
      <c r="AL19" s="13">
        <v>10</v>
      </c>
      <c r="AN19" s="13">
        <v>11</v>
      </c>
      <c r="AO19" s="13">
        <v>2</v>
      </c>
      <c r="AP19" s="13">
        <v>32</v>
      </c>
      <c r="AQ19" s="13">
        <v>5</v>
      </c>
      <c r="AR19" s="13">
        <v>28</v>
      </c>
      <c r="AS19" s="13">
        <v>30</v>
      </c>
      <c r="AT19" s="13">
        <v>5</v>
      </c>
      <c r="AU19" s="13">
        <v>26</v>
      </c>
      <c r="AV19" s="13">
        <v>18</v>
      </c>
      <c r="AW19" s="2" t="str">
        <f>IFERROR(INDEX(measureables!$A:$J,MATCH($A19,measureables!$A:$A,FALSE),7), "")</f>
        <v>7' 1.00''</v>
      </c>
      <c r="AX19" s="2">
        <f>IFERROR(INDEX(measureables!$A:$J,MATCH($A19,measureables!$A:$A,FALSE),9), "")</f>
        <v>256</v>
      </c>
      <c r="AY19" s="2" t="str">
        <f>IFERROR(INDEX(measureables!$A:$J,MATCH($A19,measureables!$A:$A,FALSE),10), "")</f>
        <v>7' 4.25''</v>
      </c>
      <c r="AZ19" s="2" t="str">
        <f>IFERROR(INDEX(measureables!$A:$J,MATCH($A19,measureables!$A:$A,FALSE),8), "")</f>
        <v>9' 5.00''</v>
      </c>
      <c r="BA19" t="str">
        <f t="shared" si="19"/>
        <v xml:space="preserve">  &lt;li&gt;&lt;b&gt;&lt;a 
    target='_blank' href='https://www.nba.com/draft/2022/prospects/walker-kessler'&gt;Walker Kessler&lt;/a&gt;&lt;/b&gt;
    - &lt;i&gt;
    &lt;a target='_blank' href='https://www.nbadraft.net/players/walker-kessler'&gt;C &lt;/a&gt;&lt;/b&gt;
    - 
    &lt;a target='_blank'href='https://www.sports-reference.com/cbb/players/walker-kessler-1.html'&gt;Auburn&lt;/a&gt;&lt;/b&gt; &lt;/i&gt;&lt;/li&gt;
  &lt;ul style='list-style-type:none'&gt;
    &lt;li&gt;Grade: Sophomore &lt;/li&gt;
    &lt;li&gt;Age: 20.9 &lt;/li&gt;
    &lt;li&gt;Height: 85 in &lt;/li&gt;
    &lt;li&gt;Weight: 256 lbs &lt;/li&gt;
    &lt;li&gt;Wingspan: 88.25 in &lt;/li&gt;
    &lt;li&gt;Reach: 113 in &lt;/li&gt;
    &lt;li&gt;Ape: +3.25 &lt;/li&gt;
    &lt;li&gt;++: rim protection, interior defense &lt;/li&gt;
    &lt;li&gt;+: size, basketball IQ &lt;/li&gt;
    &lt;li&gt;-: athleticism, offensive role &lt;/li&gt;
    &lt;li&gt;Additional Notes: has potential of a true regular season defensive anchor, and his mobility/brain should be enough to at least hold up in playoffs. The lack of an offensive role as he's not a shooting threat, rim runner, or low post threat caps his upside &lt;/li&gt;
  &lt;/ul&gt;
  &lt;br&gt;</v>
      </c>
    </row>
    <row r="20" spans="1:53" ht="22" customHeight="1" x14ac:dyDescent="0.2">
      <c r="A20" t="s">
        <v>110</v>
      </c>
      <c r="B20" t="s">
        <v>12</v>
      </c>
      <c r="C20" s="3" t="s">
        <v>69</v>
      </c>
      <c r="D20" s="3" t="s">
        <v>66</v>
      </c>
      <c r="E20" s="9">
        <f t="shared" si="4"/>
        <v>20.518730553827005</v>
      </c>
      <c r="F20" s="7">
        <f t="shared" si="5"/>
        <v>86</v>
      </c>
      <c r="G20" s="7">
        <f t="shared" si="6"/>
        <v>242.4</v>
      </c>
      <c r="H20" s="7">
        <f t="shared" si="7"/>
        <v>90.5</v>
      </c>
      <c r="I20" s="7">
        <f t="shared" si="8"/>
        <v>117</v>
      </c>
      <c r="J20" s="7" t="str">
        <f t="shared" si="9"/>
        <v>+4.5</v>
      </c>
      <c r="K20" s="9">
        <f t="shared" si="10"/>
        <v>1.1730769230769231</v>
      </c>
      <c r="L20" s="3" t="s">
        <v>445</v>
      </c>
      <c r="M20" s="3" t="s">
        <v>444</v>
      </c>
      <c r="N20" s="3" t="s">
        <v>443</v>
      </c>
      <c r="P20" s="3" t="s">
        <v>446</v>
      </c>
      <c r="Q20" s="19">
        <v>50.6</v>
      </c>
      <c r="R20" s="3">
        <f t="shared" si="17"/>
        <v>15</v>
      </c>
      <c r="S20" s="7">
        <f>IFERROR(IF(FLOOR(Q20,1)=FLOOR(Q19,1),S19, MAX(S$5:S19)+1),1)</f>
        <v>3</v>
      </c>
      <c r="T20" s="7">
        <f>IFERROR(INDEX(actual!A:A,MATCH(A20,actual!B:B,FALSE)), "")</f>
        <v>15</v>
      </c>
      <c r="U20" s="7" t="str">
        <f>IFERROR(INDEX(actual!C:C,MATCH(A20,actual!B:B,FALSE)), "")</f>
        <v>CHA</v>
      </c>
      <c r="V20" s="16" t="s">
        <v>297</v>
      </c>
      <c r="W20" s="4" t="str">
        <f t="shared" si="11"/>
        <v>https://www.nbadraft.net/players/mark-williams</v>
      </c>
      <c r="X20" s="17" t="str">
        <f t="shared" si="21"/>
        <v>https://www.nba.com/draft/2022/prospects/mark-williams</v>
      </c>
      <c r="Y20" s="10">
        <v>37241</v>
      </c>
      <c r="Z20" s="13">
        <f t="shared" si="13"/>
        <v>10</v>
      </c>
      <c r="AA20" s="13">
        <f t="shared" si="14"/>
        <v>13</v>
      </c>
      <c r="AB20" s="13">
        <f t="shared" si="15"/>
        <v>11</v>
      </c>
      <c r="AC20" s="12">
        <f t="shared" si="16"/>
        <v>390</v>
      </c>
      <c r="AD20" s="20">
        <f t="shared" si="18"/>
        <v>221</v>
      </c>
      <c r="AE20" s="20">
        <f t="shared" si="18"/>
        <v>169</v>
      </c>
      <c r="AF20" s="13">
        <v>19</v>
      </c>
      <c r="AG20" s="13">
        <v>5</v>
      </c>
      <c r="AH20" s="13">
        <v>15</v>
      </c>
      <c r="AI20" s="13">
        <v>18</v>
      </c>
      <c r="AJ20" s="13">
        <v>19</v>
      </c>
      <c r="AK20" s="13">
        <v>3</v>
      </c>
      <c r="AL20" s="13">
        <v>13</v>
      </c>
      <c r="AN20" s="13">
        <v>10</v>
      </c>
      <c r="AO20" s="13">
        <v>2</v>
      </c>
      <c r="AP20" s="13">
        <v>18</v>
      </c>
      <c r="AQ20" s="13">
        <v>4</v>
      </c>
      <c r="AR20" s="13">
        <v>15</v>
      </c>
      <c r="AS20" s="13">
        <v>15</v>
      </c>
      <c r="AT20" s="13">
        <v>4</v>
      </c>
      <c r="AU20" s="13">
        <v>14</v>
      </c>
      <c r="AV20" s="13">
        <v>25</v>
      </c>
      <c r="AW20" s="2" t="str">
        <f>IFERROR(INDEX(measureables!$A:$J,MATCH($A20,measureables!$A:$A,FALSE),7), "")</f>
        <v>7' 2.00''</v>
      </c>
      <c r="AX20" s="2">
        <f>IFERROR(INDEX(measureables!$A:$J,MATCH($A20,measureables!$A:$A,FALSE),9), "")</f>
        <v>242.4</v>
      </c>
      <c r="AY20" s="2" t="str">
        <f>IFERROR(INDEX(measureables!$A:$J,MATCH($A20,measureables!$A:$A,FALSE),10), "")</f>
        <v>7' 6.50''</v>
      </c>
      <c r="AZ20" s="2" t="str">
        <f>IFERROR(INDEX(measureables!$A:$J,MATCH($A20,measureables!$A:$A,FALSE),8), "")</f>
        <v>9' 9.00''</v>
      </c>
      <c r="BA20" t="str">
        <f t="shared" si="19"/>
        <v xml:space="preserve">  &lt;li&gt;&lt;b&gt;&lt;a 
    target='_blank' href='https://www.nba.com/draft/2022/prospects/mark-williams'&gt;Mark Williams&lt;/a&gt;&lt;/b&gt;
    - &lt;i&gt;
    &lt;a target='_blank' href='https://www.nbadraft.net/players/mark-williams'&gt;C &lt;/a&gt;&lt;/b&gt;
    - 
    &lt;a target='_blank'href='https://www.sports-reference.com/cbb/players/mark-williams-7.html'&gt;Duke&lt;/a&gt;&lt;/b&gt; &lt;/i&gt;&lt;/li&gt;
  &lt;ul style='list-style-type:none'&gt;
    &lt;li&gt;Grade: Sophomore &lt;/li&gt;
    &lt;li&gt;Age: 20.5 &lt;/li&gt;
    &lt;li&gt;Height: 86 in &lt;/li&gt;
    &lt;li&gt;Weight: 242.4 lbs &lt;/li&gt;
    &lt;li&gt;Wingspan: 90.5 in &lt;/li&gt;
    &lt;li&gt;Reach: 117 in &lt;/li&gt;
    &lt;li&gt;Ape: +4.5 &lt;/li&gt;
    &lt;li&gt;++: size &lt;/li&gt;
    &lt;li&gt;+: interior finishing, rim protection &lt;/li&gt;
    &lt;li&gt;-: offensive upside &lt;/li&gt;
    &lt;li&gt;Additional Notes: safe bet to be a rotational big for a number of years, but doesn't have true defensive anchor upside, and probably won't be more than a roll man offensively &lt;/li&gt;
  &lt;/ul&gt;
  &lt;br&gt;</v>
      </c>
    </row>
    <row r="21" spans="1:53" ht="22" customHeight="1" x14ac:dyDescent="0.2">
      <c r="A21" t="s">
        <v>195</v>
      </c>
      <c r="B21" t="s">
        <v>13</v>
      </c>
      <c r="C21" s="3" t="s">
        <v>311</v>
      </c>
      <c r="D21" s="3" t="s">
        <v>72</v>
      </c>
      <c r="E21" s="9">
        <f t="shared" si="4"/>
        <v>20.636465463596764</v>
      </c>
      <c r="F21" s="7">
        <f t="shared" si="5"/>
        <v>80</v>
      </c>
      <c r="G21" s="7">
        <f t="shared" si="6"/>
        <v>227.2</v>
      </c>
      <c r="H21" s="7">
        <f t="shared" si="7"/>
        <v>81.5</v>
      </c>
      <c r="I21" s="7">
        <f t="shared" si="8"/>
        <v>104</v>
      </c>
      <c r="J21" s="7" t="str">
        <f t="shared" si="9"/>
        <v>+1.5</v>
      </c>
      <c r="K21" s="9">
        <f t="shared" si="10"/>
        <v>1.075</v>
      </c>
      <c r="M21" s="3" t="s">
        <v>464</v>
      </c>
      <c r="N21" s="3" t="s">
        <v>465</v>
      </c>
      <c r="P21" s="3" t="s">
        <v>466</v>
      </c>
      <c r="Q21" s="19">
        <v>50.5</v>
      </c>
      <c r="R21" s="3">
        <f t="shared" si="17"/>
        <v>16</v>
      </c>
      <c r="S21" s="7">
        <f>IFERROR(IF(FLOOR(Q21,1)=FLOOR(Q20,1),S20, MAX(S$5:S20)+1),1)</f>
        <v>3</v>
      </c>
      <c r="T21" s="7">
        <f>IFERROR(INDEX(actual!A:A,MATCH(A21,actual!B:B,FALSE)), "")</f>
        <v>19</v>
      </c>
      <c r="U21" s="7" t="str">
        <f>IFERROR(INDEX(actual!C:C,MATCH(A21,actual!B:B,FALSE)), "")</f>
        <v>MEM</v>
      </c>
      <c r="V21" s="4" t="str">
        <f>HYPERLINK(IF(D21="", "https://www.basketball-reference.com/international", "https://www.sports-reference.com/cbb") &amp; "/players/" &amp; LOWER(SUBSTITUTE(A21, " ", "-") &amp; "-1.html"))</f>
        <v>https://www.sports-reference.com/cbb/players/jake-laravia-1.html</v>
      </c>
      <c r="W21" s="4" t="str">
        <f t="shared" si="11"/>
        <v>https://www.nbadraft.net/players/jake-laravia</v>
      </c>
      <c r="X21" s="17" t="str">
        <f t="shared" si="21"/>
        <v>https://www.nba.com/draft/2022/prospects/jake-laravia</v>
      </c>
      <c r="Y21" s="10">
        <v>37198</v>
      </c>
      <c r="Z21" s="13">
        <f t="shared" si="13"/>
        <v>19</v>
      </c>
      <c r="AA21" s="13">
        <f t="shared" si="14"/>
        <v>19</v>
      </c>
      <c r="AB21" s="13">
        <f t="shared" si="15"/>
        <v>19</v>
      </c>
      <c r="AC21" s="12">
        <f t="shared" si="16"/>
        <v>534</v>
      </c>
      <c r="AD21" s="20">
        <f t="shared" si="18"/>
        <v>292</v>
      </c>
      <c r="AE21" s="20">
        <f t="shared" si="18"/>
        <v>242</v>
      </c>
      <c r="AF21" s="13">
        <v>20</v>
      </c>
      <c r="AG21" s="13">
        <v>5</v>
      </c>
      <c r="AH21" s="13">
        <v>22</v>
      </c>
      <c r="AJ21" s="13">
        <v>16</v>
      </c>
      <c r="AK21" s="13">
        <v>19</v>
      </c>
      <c r="AL21" s="13">
        <v>27</v>
      </c>
      <c r="AN21" s="13">
        <v>15</v>
      </c>
      <c r="AO21" s="13">
        <v>3</v>
      </c>
      <c r="AP21" s="13">
        <v>19</v>
      </c>
      <c r="AQ21" s="13">
        <v>4</v>
      </c>
      <c r="AR21" s="13">
        <v>30</v>
      </c>
      <c r="AS21" s="13">
        <v>22</v>
      </c>
      <c r="AT21" s="13">
        <v>5</v>
      </c>
      <c r="AU21" s="13">
        <v>28</v>
      </c>
      <c r="AW21" s="2" t="str">
        <f>IFERROR(INDEX(measureables!$A:$J,MATCH($A21,measureables!$A:$A,FALSE),7), "")</f>
        <v>6' 8.00''</v>
      </c>
      <c r="AX21" s="2">
        <f>IFERROR(INDEX(measureables!$A:$J,MATCH($A21,measureables!$A:$A,FALSE),9), "")</f>
        <v>227.2</v>
      </c>
      <c r="AY21" s="2" t="str">
        <f>IFERROR(INDEX(measureables!$A:$J,MATCH($A21,measureables!$A:$A,FALSE),10), "")</f>
        <v>6' 9.50''</v>
      </c>
      <c r="AZ21" s="2" t="str">
        <f>IFERROR(INDEX(measureables!$A:$J,MATCH($A21,measureables!$A:$A,FALSE),8), "")</f>
        <v>8' 8.00''</v>
      </c>
      <c r="BA21" t="str">
        <f t="shared" si="19"/>
        <v xml:space="preserve">  &lt;li&gt;&lt;b&gt;&lt;a 
    target='_blank' href='https://www.nba.com/draft/2022/prospects/jake-laravia'&gt;Jake LaRavia&lt;/a&gt;&lt;/b&gt;
    - &lt;i&gt;
    &lt;a target='_blank' href='https://www.nbadraft.net/players/jake-laravia'&gt;PF &lt;/a&gt;&lt;/b&gt;
    - 
    &lt;a target='_blank'href='https://www.sports-reference.com/cbb/players/jake-laravia-1.html'&gt;Wake Forest&lt;/a&gt;&lt;/b&gt; &lt;/i&gt;&lt;/li&gt;
  &lt;ul style='list-style-type:none'&gt;
    &lt;li&gt;Grade: Junior &lt;/li&gt;
    &lt;li&gt;Age: 20.6 &lt;/li&gt;
    &lt;li&gt;Height: 80 in &lt;/li&gt;
    &lt;li&gt;Weight: 227.2 lbs &lt;/li&gt;
    &lt;li&gt;Wingspan: 81.5 in &lt;/li&gt;
    &lt;li&gt;Reach: 104 in &lt;/li&gt;
    &lt;li&gt;Ape: +1.5 &lt;/li&gt;
    &lt;li&gt;+: age, size, perimeter defensive versatility, passing &lt;/li&gt;
    &lt;li&gt;-: wingspan, shot creation, vertical athleticism, 3rd or 4th option offensively &lt;/li&gt;
    &lt;li&gt;Additional Notes: versatile defender who should be able to do enough secondary things offensively to be a high end role player as a big wing &lt;/li&gt;
  &lt;/ul&gt;
  &lt;br&gt;</v>
      </c>
    </row>
    <row r="22" spans="1:53" ht="22" customHeight="1" x14ac:dyDescent="0.2">
      <c r="A22" t="s">
        <v>212</v>
      </c>
      <c r="B22" t="s">
        <v>16</v>
      </c>
      <c r="C22" s="3" t="s">
        <v>308</v>
      </c>
      <c r="D22" s="3" t="s">
        <v>19</v>
      </c>
      <c r="E22" s="9">
        <f t="shared" si="4"/>
        <v>19.271731690622861</v>
      </c>
      <c r="F22" s="7">
        <f t="shared" si="5"/>
        <v>76.25</v>
      </c>
      <c r="G22" s="7">
        <f t="shared" si="6"/>
        <v>187.2</v>
      </c>
      <c r="H22" s="7">
        <f t="shared" si="7"/>
        <v>81.25</v>
      </c>
      <c r="I22" s="7">
        <f t="shared" si="8"/>
        <v>103</v>
      </c>
      <c r="J22" s="7" t="str">
        <f t="shared" si="9"/>
        <v>+5</v>
      </c>
      <c r="K22" s="9">
        <f t="shared" si="10"/>
        <v>1.3076923076923077</v>
      </c>
      <c r="L22" s="3" t="s">
        <v>402</v>
      </c>
      <c r="M22" s="3" t="s">
        <v>463</v>
      </c>
      <c r="N22" s="3" t="s">
        <v>461</v>
      </c>
      <c r="P22" s="3" t="s">
        <v>462</v>
      </c>
      <c r="Q22" s="19">
        <v>50.4</v>
      </c>
      <c r="R22" s="3">
        <f t="shared" si="17"/>
        <v>17</v>
      </c>
      <c r="S22" s="7">
        <f>IFERROR(IF(FLOOR(Q22,1)=FLOOR(Q21,1),S21, MAX(S$5:S21)+1),1)</f>
        <v>3</v>
      </c>
      <c r="T22" s="7">
        <f>IFERROR(INDEX(actual!A:A,MATCH(A22,actual!B:B,FALSE)), "")</f>
        <v>25</v>
      </c>
      <c r="U22" s="7" t="str">
        <f>IFERROR(INDEX(actual!C:C,MATCH(A22,actual!B:B,FALSE)), "")</f>
        <v>SAS</v>
      </c>
      <c r="V22" s="4" t="str">
        <f>HYPERLINK(IF(D22="", "https://www.basketball-reference.com/international", "https://www.sports-reference.com/cbb") &amp; "/players/" &amp; LOWER(SUBSTITUTE(A22, " ", "-") &amp; "-1.html"))</f>
        <v>https://www.sports-reference.com/cbb/players/blake-wesley-1.html</v>
      </c>
      <c r="W22" s="4" t="str">
        <f t="shared" si="11"/>
        <v>https://www.nbadraft.net/players/blake-wesley</v>
      </c>
      <c r="X22" s="17" t="str">
        <f t="shared" si="21"/>
        <v>https://www.nba.com/draft/2022/prospects/blake-wesley</v>
      </c>
      <c r="Y22" s="10">
        <v>37696</v>
      </c>
      <c r="Z22" s="13">
        <f t="shared" si="13"/>
        <v>18</v>
      </c>
      <c r="AA22" s="13">
        <f t="shared" si="14"/>
        <v>16</v>
      </c>
      <c r="AB22" s="13">
        <f t="shared" si="15"/>
        <v>16</v>
      </c>
      <c r="AC22" s="12">
        <f t="shared" si="16"/>
        <v>504</v>
      </c>
      <c r="AD22" s="20">
        <f t="shared" si="18"/>
        <v>273</v>
      </c>
      <c r="AE22" s="20">
        <f t="shared" si="18"/>
        <v>231</v>
      </c>
      <c r="AF22" s="13">
        <v>11</v>
      </c>
      <c r="AG22" s="13">
        <v>4</v>
      </c>
      <c r="AH22" s="13">
        <v>26</v>
      </c>
      <c r="AI22" s="13">
        <v>22</v>
      </c>
      <c r="AJ22" s="13">
        <v>8</v>
      </c>
      <c r="AK22" s="13">
        <v>29</v>
      </c>
      <c r="AL22" s="13">
        <v>30</v>
      </c>
      <c r="AN22" s="13">
        <v>26</v>
      </c>
      <c r="AO22" s="13">
        <v>3</v>
      </c>
      <c r="AP22" s="13">
        <v>17</v>
      </c>
      <c r="AQ22" s="13">
        <v>4</v>
      </c>
      <c r="AR22" s="13">
        <v>21</v>
      </c>
      <c r="AS22" s="13">
        <v>25</v>
      </c>
      <c r="AT22" s="13">
        <v>5</v>
      </c>
      <c r="AU22" s="13">
        <v>27</v>
      </c>
      <c r="AW22" s="2" t="str">
        <f>IFERROR(INDEX(measureables!$A:$J,MATCH($A22,measureables!$A:$A,FALSE),7), "")</f>
        <v>6' 4.25''</v>
      </c>
      <c r="AX22" s="2">
        <f>IFERROR(INDEX(measureables!$A:$J,MATCH($A22,measureables!$A:$A,FALSE),9), "")</f>
        <v>187.2</v>
      </c>
      <c r="AY22" s="2" t="str">
        <f>IFERROR(INDEX(measureables!$A:$J,MATCH($A22,measureables!$A:$A,FALSE),10), "")</f>
        <v>6' 9.25''</v>
      </c>
      <c r="AZ22" s="2" t="str">
        <f>IFERROR(INDEX(measureables!$A:$J,MATCH($A22,measureables!$A:$A,FALSE),8), "")</f>
        <v>8' 7.00''</v>
      </c>
      <c r="BA22" t="str">
        <f t="shared" si="19"/>
        <v xml:space="preserve">  &lt;li&gt;&lt;b&gt;&lt;a 
    target='_blank' href='https://www.nba.com/draft/2022/prospects/blake-wesley'&gt;Blake Wesley&lt;/a&gt;&lt;/b&gt;
    - &lt;i&gt;
    &lt;a target='_blank' href='https://www.nbadraft.net/players/blake-wesley'&gt;SG &lt;/a&gt;&lt;/b&gt;
    - 
    &lt;a target='_blank'href='https://www.sports-reference.com/cbb/players/blake-wesley-1.html'&gt;Notre Dame&lt;/a&gt;&lt;/b&gt; &lt;/i&gt;&lt;/li&gt;
  &lt;ul style='list-style-type:none'&gt;
    &lt;li&gt;Grade: Freshman &lt;/li&gt;
    &lt;li&gt;Age: 19.3 &lt;/li&gt;
    &lt;li&gt;Height: 76.25 in &lt;/li&gt;
    &lt;li&gt;Weight: 187.2 lbs &lt;/li&gt;
    &lt;li&gt;Wingspan: 81.25 in &lt;/li&gt;
    &lt;li&gt;Reach: 103 in &lt;/li&gt;
    &lt;li&gt;Ape: +5 &lt;/li&gt;
    &lt;li&gt;++: athleticism &lt;/li&gt;
    &lt;li&gt;+: perimeter defense, ball handling, scoring &lt;/li&gt;
    &lt;li&gt;-: shooting, playmaking, rim finishing &lt;/li&gt;
    &lt;li&gt;Additional Notes: for a player who plays in a score-first fashion, his best skills seem to be defensively where he can use his length and athleticism to generate turnovers and play in transition  &lt;/li&gt;
  &lt;/ul&gt;
  &lt;br&gt;</v>
      </c>
    </row>
    <row r="23" spans="1:53" ht="22" customHeight="1" x14ac:dyDescent="0.2">
      <c r="A23" t="s">
        <v>223</v>
      </c>
      <c r="B23" t="s">
        <v>16</v>
      </c>
      <c r="C23" s="3" t="s">
        <v>69</v>
      </c>
      <c r="D23" s="3" t="s">
        <v>19</v>
      </c>
      <c r="E23" s="9">
        <f t="shared" si="4"/>
        <v>18.82546201232033</v>
      </c>
      <c r="F23" s="7">
        <f t="shared" si="5"/>
        <v>76.75</v>
      </c>
      <c r="G23" s="7">
        <f t="shared" si="6"/>
        <v>223.8</v>
      </c>
      <c r="H23" s="7">
        <f t="shared" si="7"/>
        <v>79.25</v>
      </c>
      <c r="I23" s="7">
        <f t="shared" si="8"/>
        <v>101</v>
      </c>
      <c r="J23" s="7" t="str">
        <f t="shared" si="9"/>
        <v>+2.5</v>
      </c>
      <c r="K23" s="9">
        <f t="shared" si="10"/>
        <v>1.1492537313432836</v>
      </c>
      <c r="L23" s="3" t="s">
        <v>385</v>
      </c>
      <c r="M23" s="3" t="s">
        <v>468</v>
      </c>
      <c r="O23" s="3" t="s">
        <v>402</v>
      </c>
      <c r="P23" s="3" t="s">
        <v>469</v>
      </c>
      <c r="Q23" s="19">
        <v>50.3</v>
      </c>
      <c r="R23" s="3">
        <f t="shared" si="17"/>
        <v>18</v>
      </c>
      <c r="S23" s="7">
        <f>IFERROR(IF(FLOOR(Q23,1)=FLOOR(Q22,1),S22, MAX(S$5:S22)+1),1)</f>
        <v>3</v>
      </c>
      <c r="T23" s="7">
        <f>IFERROR(INDEX(actual!A:A,MATCH(A23,actual!B:B,FALSE)), "")</f>
        <v>42</v>
      </c>
      <c r="U23" s="7" t="str">
        <f>IFERROR(INDEX(actual!C:C,MATCH(A23,actual!B:B,FALSE)), "")</f>
        <v>NYK</v>
      </c>
      <c r="V23" s="4" t="str">
        <f>HYPERLINK(IF(D23="", "https://www.basketball-reference.com/international", "https://www.sports-reference.com/cbb") &amp; "/players/" &amp; LOWER(SUBSTITUTE(A23, " ", "-") &amp; "-1.html"))</f>
        <v>https://www.sports-reference.com/cbb/players/trevor-keels-1.html</v>
      </c>
      <c r="W23" s="4" t="str">
        <f t="shared" si="11"/>
        <v>https://www.nbadraft.net/players/trevor-keels</v>
      </c>
      <c r="X23" s="17" t="str">
        <f t="shared" si="21"/>
        <v>https://www.nba.com/draft/2022/prospects/trevor-keels</v>
      </c>
      <c r="Y23" s="10">
        <v>37859</v>
      </c>
      <c r="Z23" s="13">
        <f t="shared" si="13"/>
        <v>21</v>
      </c>
      <c r="AA23" s="13">
        <f t="shared" si="14"/>
        <v>26</v>
      </c>
      <c r="AB23" s="13">
        <f t="shared" si="15"/>
        <v>22</v>
      </c>
      <c r="AC23" s="12">
        <f t="shared" si="16"/>
        <v>609</v>
      </c>
      <c r="AD23" s="20">
        <f t="shared" si="18"/>
        <v>349</v>
      </c>
      <c r="AE23" s="20">
        <f t="shared" si="18"/>
        <v>260</v>
      </c>
      <c r="AF23" s="13">
        <v>30</v>
      </c>
      <c r="AG23" s="13">
        <v>8</v>
      </c>
      <c r="AH23" s="13">
        <v>21</v>
      </c>
      <c r="AI23" s="13">
        <v>19</v>
      </c>
      <c r="AJ23" s="13">
        <v>24</v>
      </c>
      <c r="AK23" s="13">
        <v>26</v>
      </c>
      <c r="AN23" s="13">
        <v>13</v>
      </c>
      <c r="AO23" s="13">
        <v>3</v>
      </c>
      <c r="AP23" s="13">
        <v>28</v>
      </c>
      <c r="AQ23" s="13">
        <v>4</v>
      </c>
      <c r="AR23" s="13">
        <v>31</v>
      </c>
      <c r="AS23" s="13">
        <v>37</v>
      </c>
      <c r="AT23" s="13">
        <v>5</v>
      </c>
      <c r="AU23" s="13">
        <v>31</v>
      </c>
      <c r="AV23" s="13">
        <v>19</v>
      </c>
      <c r="AW23" s="2" t="str">
        <f>IFERROR(INDEX(measureables!$A:$J,MATCH($A23,measureables!$A:$A,FALSE),7), "")</f>
        <v>6' 4.75''</v>
      </c>
      <c r="AX23" s="2">
        <f>IFERROR(INDEX(measureables!$A:$J,MATCH($A23,measureables!$A:$A,FALSE),9), "")</f>
        <v>223.8</v>
      </c>
      <c r="AY23" s="2" t="str">
        <f>IFERROR(INDEX(measureables!$A:$J,MATCH($A23,measureables!$A:$A,FALSE),10), "")</f>
        <v>6' 7.25''</v>
      </c>
      <c r="AZ23" s="2" t="str">
        <f>IFERROR(INDEX(measureables!$A:$J,MATCH($A23,measureables!$A:$A,FALSE),8), "")</f>
        <v>8' 5.00''</v>
      </c>
      <c r="BA23" t="str">
        <f t="shared" si="19"/>
        <v xml:space="preserve">  &lt;li&gt;&lt;b&gt;&lt;a 
    target='_blank' href='https://www.nba.com/draft/2022/prospects/trevor-keels'&gt;Trevor Keels&lt;/a&gt;&lt;/b&gt;
    - &lt;i&gt;
    &lt;a target='_blank' href='https://www.nbadraft.net/players/trevor-keels'&gt;SG &lt;/a&gt;&lt;/b&gt;
    - 
    &lt;a target='_blank'href='https://www.sports-reference.com/cbb/players/trevor-keels-1.html'&gt;Duke&lt;/a&gt;&lt;/b&gt; &lt;/i&gt;&lt;/li&gt;
  &lt;ul style='list-style-type:none'&gt;
    &lt;li&gt;Grade: Freshman &lt;/li&gt;
    &lt;li&gt;Age: 18.8 &lt;/li&gt;
    &lt;li&gt;Height: 76.75 in &lt;/li&gt;
    &lt;li&gt;Weight: 223.8 lbs &lt;/li&gt;
    &lt;li&gt;Wingspan: 79.25 in &lt;/li&gt;
    &lt;li&gt;Reach: 101 in &lt;/li&gt;
    &lt;li&gt;Ape: +2.5 &lt;/li&gt;
    &lt;li&gt;++: age &lt;/li&gt;
    &lt;li&gt;+: strength, production &lt;/li&gt;
    &lt;li&gt;--: athleticism &lt;/li&gt;
    &lt;li&gt;Additional Notes: producing net positive results as a young freshman against strong major NCAA competition is a great start, but question marks arise when his limited athleticism is put to the test even more by bigger and faster NBA players. A strong strength program could do wonders &lt;/li&gt;
  &lt;/ul&gt;
  &lt;br&gt;</v>
      </c>
    </row>
    <row r="24" spans="1:53" ht="22" customHeight="1" x14ac:dyDescent="0.2">
      <c r="A24" t="s">
        <v>305</v>
      </c>
      <c r="B24" t="s">
        <v>16</v>
      </c>
      <c r="C24" s="3" t="s">
        <v>75</v>
      </c>
      <c r="D24" s="3" t="s">
        <v>19</v>
      </c>
      <c r="E24" s="9">
        <f t="shared" si="4"/>
        <v>20.603609209707528</v>
      </c>
      <c r="F24" s="7">
        <f t="shared" si="5"/>
        <v>75.75</v>
      </c>
      <c r="G24" s="7">
        <f t="shared" si="6"/>
        <v>196.4</v>
      </c>
      <c r="H24" s="7">
        <f t="shared" si="7"/>
        <v>80</v>
      </c>
      <c r="I24" s="7">
        <f t="shared" si="8"/>
        <v>99.5</v>
      </c>
      <c r="J24" s="7" t="str">
        <f t="shared" si="9"/>
        <v>+4.25</v>
      </c>
      <c r="K24" s="9">
        <f t="shared" si="10"/>
        <v>1.2698412698412698</v>
      </c>
      <c r="M24" s="3" t="s">
        <v>467</v>
      </c>
      <c r="N24" s="3" t="s">
        <v>402</v>
      </c>
      <c r="O24" s="3" t="s">
        <v>385</v>
      </c>
      <c r="P24" s="3" t="s">
        <v>476</v>
      </c>
      <c r="Q24" s="19">
        <v>50.2</v>
      </c>
      <c r="R24" s="3">
        <f t="shared" si="17"/>
        <v>19</v>
      </c>
      <c r="S24" s="7">
        <f>IFERROR(IF(FLOOR(Q24,1)=FLOOR(Q23,1),S23, MAX(S$5:S23)+1),1)</f>
        <v>3</v>
      </c>
      <c r="T24" s="7">
        <f>IFERROR(INDEX(actual!A:A,MATCH(A24,actual!B:B,FALSE)), "")</f>
        <v>29</v>
      </c>
      <c r="U24" s="7" t="str">
        <f>IFERROR(INDEX(actual!C:C,MATCH(A24,actual!B:B,FALSE)), "")</f>
        <v>HOU</v>
      </c>
      <c r="V24" s="16" t="s">
        <v>306</v>
      </c>
      <c r="W24" s="4" t="str">
        <f t="shared" si="11"/>
        <v>https://www.nbadraft.net/players/tyty-washington</v>
      </c>
      <c r="X24" s="17" t="str">
        <f t="shared" si="21"/>
        <v>https://www.nba.com/draft/2022/prospects/tyty-washington</v>
      </c>
      <c r="Y24" s="10">
        <v>37210</v>
      </c>
      <c r="Z24" s="13">
        <f t="shared" si="13"/>
        <v>20</v>
      </c>
      <c r="AA24" s="13">
        <f t="shared" si="14"/>
        <v>14</v>
      </c>
      <c r="AB24" s="13">
        <f t="shared" si="15"/>
        <v>26</v>
      </c>
      <c r="AC24" s="12">
        <f t="shared" si="16"/>
        <v>567</v>
      </c>
      <c r="AD24" s="20">
        <f t="shared" si="18"/>
        <v>237</v>
      </c>
      <c r="AE24" s="20">
        <f t="shared" si="18"/>
        <v>330</v>
      </c>
      <c r="AF24" s="13">
        <v>14</v>
      </c>
      <c r="AG24" s="13">
        <v>5</v>
      </c>
      <c r="AH24" s="13">
        <v>36</v>
      </c>
      <c r="AI24" s="13">
        <v>28</v>
      </c>
      <c r="AJ24" s="13">
        <v>25</v>
      </c>
      <c r="AK24" s="13">
        <v>30</v>
      </c>
      <c r="AL24" s="13">
        <v>25</v>
      </c>
      <c r="AN24" s="13">
        <v>20</v>
      </c>
      <c r="AO24" s="13">
        <v>3</v>
      </c>
      <c r="AP24" s="13">
        <v>16</v>
      </c>
      <c r="AQ24" s="13">
        <v>4</v>
      </c>
      <c r="AR24" s="13">
        <v>22</v>
      </c>
      <c r="AS24" s="13">
        <v>14</v>
      </c>
      <c r="AT24" s="13">
        <v>4</v>
      </c>
      <c r="AU24" s="13">
        <v>18</v>
      </c>
      <c r="AV24" s="13">
        <v>14</v>
      </c>
      <c r="AW24" s="2" t="str">
        <f>IFERROR(INDEX(measureables!$A:$J,MATCH($A24,measureables!$A:$A,FALSE),7), "")</f>
        <v>6' 3.75''</v>
      </c>
      <c r="AX24" s="2">
        <f>IFERROR(INDEX(measureables!$A:$J,MATCH($A24,measureables!$A:$A,FALSE),9), "")</f>
        <v>196.4</v>
      </c>
      <c r="AY24" s="2" t="str">
        <f>IFERROR(INDEX(measureables!$A:$J,MATCH($A24,measureables!$A:$A,FALSE),10), "")</f>
        <v>6' 8.00''</v>
      </c>
      <c r="AZ24" s="2" t="str">
        <f>IFERROR(INDEX(measureables!$A:$J,MATCH($A24,measureables!$A:$A,FALSE),8), "")</f>
        <v>8' 3.50''</v>
      </c>
      <c r="BA24" t="str">
        <f t="shared" si="19"/>
        <v xml:space="preserve">  &lt;li&gt;&lt;b&gt;&lt;a 
    target='_blank' href='https://www.nba.com/draft/2022/prospects/tyty-washington'&gt;TyTy Washington&lt;/a&gt;&lt;/b&gt;
    - &lt;i&gt;
    &lt;a target='_blank' href='https://www.nbadraft.net/players/tyty-washington'&gt;SG &lt;/a&gt;&lt;/b&gt;
    - 
    &lt;a target='_blank'href='https://www.sports-reference.com/cbb/players/tyty-washingtonjr-1.html'&gt;Kentucky&lt;/a&gt;&lt;/b&gt; &lt;/i&gt;&lt;/li&gt;
  &lt;ul style='list-style-type:none'&gt;
    &lt;li&gt;Grade: Freshman &lt;/li&gt;
    &lt;li&gt;Age: 20.6 &lt;/li&gt;
    &lt;li&gt;Height: 75.75 in &lt;/li&gt;
    &lt;li&gt;Weight: 196.4 lbs &lt;/li&gt;
    &lt;li&gt;Wingspan: 80 in &lt;/li&gt;
    &lt;li&gt;Reach: 99.5 in &lt;/li&gt;
    &lt;li&gt;Ape: +4.25 &lt;/li&gt;
    &lt;li&gt;+: length &lt;/li&gt;
    &lt;li&gt;-: athleticism &lt;/li&gt;
    &lt;li&gt;--: age &lt;/li&gt;
    &lt;li&gt;Additional Notes: currently profiles more as a 3rd guard, but his PG skills keep upside plays in tact given his length and scoring efficiency &lt;/li&gt;
  &lt;/ul&gt;
  &lt;br&gt;</v>
      </c>
    </row>
    <row r="25" spans="1:53" ht="22" customHeight="1" x14ac:dyDescent="0.2">
      <c r="A25" t="s">
        <v>120</v>
      </c>
      <c r="B25" t="s">
        <v>12</v>
      </c>
      <c r="C25" s="3" t="s">
        <v>287</v>
      </c>
      <c r="D25" s="3" t="s">
        <v>72</v>
      </c>
      <c r="E25" s="9">
        <f t="shared" si="4"/>
        <v>22.006189739316749</v>
      </c>
      <c r="F25" s="7">
        <f t="shared" si="5"/>
        <v>84</v>
      </c>
      <c r="G25" s="7">
        <f t="shared" si="6"/>
        <v>221</v>
      </c>
      <c r="H25" s="7">
        <f t="shared" si="7"/>
        <v>89.25</v>
      </c>
      <c r="I25" s="7">
        <f t="shared" si="8"/>
        <v>113</v>
      </c>
      <c r="J25" s="7" t="str">
        <f t="shared" si="9"/>
        <v>+5.25</v>
      </c>
      <c r="K25" s="9">
        <f t="shared" si="10"/>
        <v>1.21875</v>
      </c>
      <c r="L25" s="3" t="s">
        <v>445</v>
      </c>
      <c r="M25" s="3" t="s">
        <v>490</v>
      </c>
      <c r="N25" s="3" t="s">
        <v>491</v>
      </c>
      <c r="Q25" s="19">
        <v>47.9</v>
      </c>
      <c r="R25" s="3">
        <f t="shared" si="17"/>
        <v>20</v>
      </c>
      <c r="S25" s="7">
        <f>IFERROR(IF(FLOOR(Q25,1)=FLOOR(Q24,1),S24, MAX(S$5:S24)+1),1)</f>
        <v>4</v>
      </c>
      <c r="T25" s="7">
        <f>IFERROR(INDEX(actual!A:A,MATCH(A25,actual!B:B,FALSE)), "")</f>
        <v>33</v>
      </c>
      <c r="U25" s="7" t="str">
        <f>IFERROR(INDEX(actual!C:C,MATCH(A25,actual!B:B,FALSE)), "")</f>
        <v>TOR</v>
      </c>
      <c r="V25" s="4" t="str">
        <f>HYPERLINK(IF(D25="", "https://www.basketball-reference.com/international", "https://www.sports-reference.com/cbb") &amp; "/players/" &amp; LOWER(SUBSTITUTE(A25, " ", "-") &amp; "-1.html"))</f>
        <v>https://www.sports-reference.com/cbb/players/christian-koloko-1.html</v>
      </c>
      <c r="W25" s="4" t="str">
        <f t="shared" si="11"/>
        <v>https://www.nbadraft.net/players/christian-koloko</v>
      </c>
      <c r="X25" s="17" t="str">
        <f t="shared" si="21"/>
        <v>https://www.nba.com/draft/2022/prospects/christian-koloko</v>
      </c>
      <c r="Y25" s="10">
        <v>36697</v>
      </c>
      <c r="Z25" s="13">
        <f t="shared" si="13"/>
        <v>35</v>
      </c>
      <c r="AA25" s="13">
        <f t="shared" si="14"/>
        <v>33</v>
      </c>
      <c r="AB25" s="13">
        <f t="shared" si="15"/>
        <v>41</v>
      </c>
      <c r="AC25" s="12">
        <f t="shared" si="16"/>
        <v>814</v>
      </c>
      <c r="AD25" s="20">
        <f t="shared" si="18"/>
        <v>413</v>
      </c>
      <c r="AE25" s="20">
        <f t="shared" si="18"/>
        <v>401</v>
      </c>
      <c r="AF25" s="13">
        <v>51</v>
      </c>
      <c r="AG25" s="13">
        <v>11</v>
      </c>
      <c r="AJ25" s="13">
        <v>27</v>
      </c>
      <c r="AK25" s="13">
        <v>20</v>
      </c>
      <c r="AN25" s="14">
        <v>17</v>
      </c>
      <c r="AO25" s="13">
        <v>3</v>
      </c>
      <c r="AP25" s="13">
        <v>22</v>
      </c>
      <c r="AQ25" s="13">
        <v>4</v>
      </c>
      <c r="AR25" s="13">
        <v>25</v>
      </c>
      <c r="AS25" s="13">
        <v>48</v>
      </c>
      <c r="AT25" s="13">
        <v>5</v>
      </c>
      <c r="AU25" s="13">
        <v>43</v>
      </c>
      <c r="AW25" s="2" t="str">
        <f>IFERROR(INDEX(measureables!$A:$J,MATCH($A25,measureables!$A:$A,FALSE),7), "")</f>
        <v>7' 0.00''</v>
      </c>
      <c r="AX25" s="2">
        <f>IFERROR(INDEX(measureables!$A:$J,MATCH($A25,measureables!$A:$A,FALSE),9), "")</f>
        <v>221</v>
      </c>
      <c r="AY25" s="2" t="str">
        <f>IFERROR(INDEX(measureables!$A:$J,MATCH($A25,measureables!$A:$A,FALSE),10), "")</f>
        <v>7' 5.25''</v>
      </c>
      <c r="AZ25" s="2" t="str">
        <f>IFERROR(INDEX(measureables!$A:$J,MATCH($A25,measureables!$A:$A,FALSE),8), "")</f>
        <v>9' 5.00''</v>
      </c>
      <c r="BA25" t="str">
        <f t="shared" si="19"/>
        <v xml:space="preserve">
  &lt;/ol&gt;
  &lt;h2&gt; Tier 4 (~45+ FV)&lt;/h2&gt;
  &lt;ol start='20 '&gt;
    &lt;li&gt;&lt;b&gt;&lt;a 
    target='_blank' href='https://www.nba.com/draft/2022/prospects/christian-koloko'&gt;Christian Koloko&lt;/a&gt;&lt;/b&gt;
    - &lt;i&gt;
    &lt;a target='_blank' href='https://www.nbadraft.net/players/christian-koloko'&gt;C &lt;/a&gt;&lt;/b&gt;
    - 
    &lt;a target='_blank'href='https://www.sports-reference.com/cbb/players/christian-koloko-1.html'&gt;Arizona&lt;/a&gt;&lt;/b&gt; &lt;/i&gt;&lt;/li&gt;
  &lt;ul style='list-style-type:none'&gt;
    &lt;li&gt;Grade: Junior &lt;/li&gt;
    &lt;li&gt;Age: 22 &lt;/li&gt;
    &lt;li&gt;Height: 84 in &lt;/li&gt;
    &lt;li&gt;Weight: 221 lbs &lt;/li&gt;
    &lt;li&gt;Wingspan: 89.25 in &lt;/li&gt;
    &lt;li&gt;Reach: 113 in &lt;/li&gt;
    &lt;li&gt;Ape: +5.25 &lt;/li&gt;
    &lt;li&gt;++: size &lt;/li&gt;
    &lt;li&gt;+: rim protection, athleticism, shooting/passing potential &lt;/li&gt;
    &lt;li&gt;-: age, strength, rawness &lt;/li&gt;
  &lt;/ul&gt;
  &lt;br&gt;</v>
      </c>
    </row>
    <row r="26" spans="1:53" ht="22" customHeight="1" x14ac:dyDescent="0.2">
      <c r="A26" t="s">
        <v>228</v>
      </c>
      <c r="B26" t="s">
        <v>16</v>
      </c>
      <c r="C26" s="3" t="s">
        <v>69</v>
      </c>
      <c r="D26" s="3" t="s">
        <v>72</v>
      </c>
      <c r="E26" s="9">
        <f t="shared" si="4"/>
        <v>20.762414436838828</v>
      </c>
      <c r="F26" s="7">
        <f t="shared" si="5"/>
        <v>77.5</v>
      </c>
      <c r="G26" s="7">
        <f t="shared" si="6"/>
        <v>217.2</v>
      </c>
      <c r="H26" s="7">
        <f t="shared" si="7"/>
        <v>84.5</v>
      </c>
      <c r="I26" s="7">
        <f t="shared" si="8"/>
        <v>101</v>
      </c>
      <c r="J26" s="7" t="str">
        <f t="shared" si="9"/>
        <v>+7</v>
      </c>
      <c r="K26" s="9">
        <f t="shared" si="10"/>
        <v>1.4</v>
      </c>
      <c r="L26" s="3" t="s">
        <v>0</v>
      </c>
      <c r="M26" s="3" t="s">
        <v>489</v>
      </c>
      <c r="N26" s="3" t="s">
        <v>455</v>
      </c>
      <c r="Q26" s="19">
        <v>47.8</v>
      </c>
      <c r="R26" s="3">
        <f t="shared" si="17"/>
        <v>21</v>
      </c>
      <c r="S26" s="7">
        <f>IFERROR(IF(FLOOR(Q26,1)=FLOOR(Q25,1),S25, MAX(S$5:S25)+1),1)</f>
        <v>4</v>
      </c>
      <c r="T26" s="7">
        <f>IFERROR(INDEX(actual!A:A,MATCH(A26,actual!B:B,FALSE)), "")</f>
        <v>26</v>
      </c>
      <c r="U26" s="7" t="str">
        <f>IFERROR(INDEX(actual!C:C,MATCH(A26,actual!B:B,FALSE)), "")</f>
        <v>MIN</v>
      </c>
      <c r="V26" s="16" t="s">
        <v>316</v>
      </c>
      <c r="W26" s="4" t="str">
        <f t="shared" si="11"/>
        <v>https://www.nbadraft.net/players/wendell-moore</v>
      </c>
      <c r="X26" s="17" t="str">
        <f t="shared" si="21"/>
        <v>https://www.nba.com/draft/2022/prospects/wendell-moore</v>
      </c>
      <c r="Y26" s="10">
        <v>37152</v>
      </c>
      <c r="Z26" s="13">
        <f t="shared" si="13"/>
        <v>34</v>
      </c>
      <c r="AA26" s="13">
        <f t="shared" si="14"/>
        <v>29</v>
      </c>
      <c r="AB26" s="13">
        <f t="shared" si="15"/>
        <v>42</v>
      </c>
      <c r="AC26" s="12">
        <f t="shared" si="16"/>
        <v>811</v>
      </c>
      <c r="AD26" s="20">
        <f t="shared" si="18"/>
        <v>392</v>
      </c>
      <c r="AE26" s="20">
        <f t="shared" si="18"/>
        <v>419</v>
      </c>
      <c r="AF26" s="13">
        <v>22</v>
      </c>
      <c r="AG26" s="13">
        <v>6</v>
      </c>
      <c r="AH26" s="13">
        <v>37</v>
      </c>
      <c r="AJ26" s="13">
        <v>45</v>
      </c>
      <c r="AK26" s="13">
        <v>36</v>
      </c>
      <c r="AN26" s="13">
        <v>19</v>
      </c>
      <c r="AO26" s="13">
        <v>3</v>
      </c>
      <c r="AP26" s="13">
        <v>46</v>
      </c>
      <c r="AQ26" s="13">
        <v>5</v>
      </c>
      <c r="AR26" s="13">
        <v>35</v>
      </c>
      <c r="AS26" s="13">
        <v>31</v>
      </c>
      <c r="AT26" s="13">
        <v>5</v>
      </c>
      <c r="AU26" s="13">
        <v>37</v>
      </c>
      <c r="AV26" s="13">
        <v>25</v>
      </c>
      <c r="AW26" s="2" t="str">
        <f>IFERROR(INDEX(measureables!$A:$J,MATCH($A26,measureables!$A:$A,FALSE),7), "")</f>
        <v>6' 5.50''</v>
      </c>
      <c r="AX26" s="2">
        <f>IFERROR(INDEX(measureables!$A:$J,MATCH($A26,measureables!$A:$A,FALSE),9), "")</f>
        <v>217.2</v>
      </c>
      <c r="AY26" s="2" t="str">
        <f>IFERROR(INDEX(measureables!$A:$J,MATCH($A26,measureables!$A:$A,FALSE),10), "")</f>
        <v>7' 0.50''</v>
      </c>
      <c r="AZ26" s="2" t="str">
        <f>IFERROR(INDEX(measureables!$A:$J,MATCH($A26,measureables!$A:$A,FALSE),8), "")</f>
        <v>8' 5.00''</v>
      </c>
      <c r="BA26" t="str">
        <f t="shared" si="19"/>
        <v xml:space="preserve">  &lt;li&gt;&lt;b&gt;&lt;a 
    target='_blank' href='https://www.nba.com/draft/2022/prospects/wendell-moore'&gt;Wendell Moore&lt;/a&gt;&lt;/b&gt;
    - &lt;i&gt;
    &lt;a target='_blank' href='https://www.nbadraft.net/players/wendell-moore'&gt;SG &lt;/a&gt;&lt;/b&gt;
    - 
    &lt;a target='_blank'href='https://www.sports-reference.com/cbb/players/wendell-moorejr-1.html'&gt;Duke&lt;/a&gt;&lt;/b&gt; &lt;/i&gt;&lt;/li&gt;
  &lt;ul style='list-style-type:none'&gt;
    &lt;li&gt;Grade: Junior &lt;/li&gt;
    &lt;li&gt;Age: 20.8 &lt;/li&gt;
    &lt;li&gt;Height: 77.5 in &lt;/li&gt;
    &lt;li&gt;Weight: 217.2 lbs &lt;/li&gt;
    &lt;li&gt;Wingspan: 84.5 in &lt;/li&gt;
    &lt;li&gt;Reach: 101 in &lt;/li&gt;
    &lt;li&gt;Ape: +7 &lt;/li&gt;
    &lt;li&gt;++: wingspan &lt;/li&gt;
    &lt;li&gt;+: age, passing, defensive versatility &lt;/li&gt;
    &lt;li&gt;-: athleticism, offensive role &lt;/li&gt;
  &lt;/ul&gt;
  &lt;br&gt;</v>
      </c>
    </row>
    <row r="27" spans="1:53" ht="22" customHeight="1" x14ac:dyDescent="0.2">
      <c r="A27" t="s">
        <v>183</v>
      </c>
      <c r="B27" t="s">
        <v>16</v>
      </c>
      <c r="C27" s="3" t="s">
        <v>299</v>
      </c>
      <c r="D27" s="3" t="s">
        <v>72</v>
      </c>
      <c r="E27" s="9">
        <f t="shared" si="4"/>
        <v>21.192283758556314</v>
      </c>
      <c r="F27" s="7">
        <f t="shared" si="5"/>
        <v>77.75</v>
      </c>
      <c r="G27" s="7">
        <f t="shared" si="6"/>
        <v>209.2</v>
      </c>
      <c r="H27" s="7">
        <f t="shared" si="7"/>
        <v>86.25</v>
      </c>
      <c r="I27" s="7">
        <f t="shared" si="8"/>
        <v>105.5</v>
      </c>
      <c r="J27" s="7" t="str">
        <f t="shared" si="9"/>
        <v>+8.5</v>
      </c>
      <c r="K27" s="9">
        <f t="shared" si="10"/>
        <v>1.4788732394366197</v>
      </c>
      <c r="L27" s="3" t="s">
        <v>0</v>
      </c>
      <c r="M27" s="3" t="s">
        <v>483</v>
      </c>
      <c r="N27" s="3" t="s">
        <v>402</v>
      </c>
      <c r="Q27" s="19">
        <v>47.7</v>
      </c>
      <c r="R27" s="3">
        <f t="shared" si="17"/>
        <v>22</v>
      </c>
      <c r="S27" s="7">
        <f>IFERROR(IF(FLOOR(Q27,1)=FLOOR(Q26,1),S26, MAX(S$5:S26)+1),1)</f>
        <v>4</v>
      </c>
      <c r="T27" s="7">
        <f>IFERROR(INDEX(actual!A:A,MATCH(A27,actual!B:B,FALSE)), "")</f>
        <v>12</v>
      </c>
      <c r="U27" s="7" t="str">
        <f>IFERROR(INDEX(actual!C:C,MATCH(A27,actual!B:B,FALSE)), "")</f>
        <v>OKC</v>
      </c>
      <c r="V27" s="16" t="s">
        <v>300</v>
      </c>
      <c r="W27" s="4" t="str">
        <f t="shared" si="11"/>
        <v>https://www.nbadraft.net/players/jalen-williams</v>
      </c>
      <c r="X27" s="17" t="str">
        <f t="shared" si="21"/>
        <v>https://www.nba.com/draft/2022/prospects/jalen-williams</v>
      </c>
      <c r="Y27" s="10">
        <v>36995</v>
      </c>
      <c r="Z27" s="13">
        <f t="shared" si="13"/>
        <v>29</v>
      </c>
      <c r="AA27" s="13">
        <f t="shared" si="14"/>
        <v>20</v>
      </c>
      <c r="AB27" s="13">
        <f t="shared" si="15"/>
        <v>47</v>
      </c>
      <c r="AC27" s="12">
        <f t="shared" si="16"/>
        <v>755</v>
      </c>
      <c r="AD27" s="20">
        <f t="shared" si="18"/>
        <v>298</v>
      </c>
      <c r="AE27" s="20">
        <f t="shared" si="18"/>
        <v>457</v>
      </c>
      <c r="AF27" s="13">
        <v>23</v>
      </c>
      <c r="AG27" s="13">
        <v>6</v>
      </c>
      <c r="AJ27" s="13">
        <v>40</v>
      </c>
      <c r="AK27" s="13">
        <v>37</v>
      </c>
      <c r="AN27" s="13">
        <v>24</v>
      </c>
      <c r="AO27" s="13">
        <v>3</v>
      </c>
      <c r="AP27" s="13">
        <v>27</v>
      </c>
      <c r="AQ27" s="13">
        <v>4</v>
      </c>
      <c r="AR27" s="13">
        <v>18</v>
      </c>
      <c r="AS27" s="13">
        <v>18</v>
      </c>
      <c r="AT27" s="13">
        <v>4</v>
      </c>
      <c r="AU27" s="13">
        <v>21</v>
      </c>
      <c r="AW27" s="2" t="str">
        <f>IFERROR(INDEX(measureables!$A:$J,MATCH($A27,measureables!$A:$A,FALSE),7), "")</f>
        <v>6' 5.75''</v>
      </c>
      <c r="AX27" s="2">
        <f>IFERROR(INDEX(measureables!$A:$J,MATCH($A27,measureables!$A:$A,FALSE),9), "")</f>
        <v>209.2</v>
      </c>
      <c r="AY27" s="2" t="str">
        <f>IFERROR(INDEX(measureables!$A:$J,MATCH($A27,measureables!$A:$A,FALSE),10), "")</f>
        <v>7' 2.25''</v>
      </c>
      <c r="AZ27" s="2" t="str">
        <f>IFERROR(INDEX(measureables!$A:$J,MATCH($A27,measureables!$A:$A,FALSE),8), "")</f>
        <v>8' 9.50''</v>
      </c>
      <c r="BA27" t="str">
        <f t="shared" si="19"/>
        <v xml:space="preserve">  &lt;li&gt;&lt;b&gt;&lt;a 
    target='_blank' href='https://www.nba.com/draft/2022/prospects/jalen-williams'&gt;Jalen Williams&lt;/a&gt;&lt;/b&gt;
    - &lt;i&gt;
    &lt;a target='_blank' href='https://www.nbadraft.net/players/jalen-williams'&gt;SG &lt;/a&gt;&lt;/b&gt;
    - 
    &lt;a target='_blank'href='https://www.sports-reference.com/cbb/players/jalen-williams-13.html'&gt;Santa Clara&lt;/a&gt;&lt;/b&gt; &lt;/i&gt;&lt;/li&gt;
  &lt;ul style='list-style-type:none'&gt;
    &lt;li&gt;Grade: Junior &lt;/li&gt;
    &lt;li&gt;Age: 21.2 &lt;/li&gt;
    &lt;li&gt;Height: 77.75 in &lt;/li&gt;
    &lt;li&gt;Weight: 209.2 lbs &lt;/li&gt;
    &lt;li&gt;Wingspan: 86.25 in &lt;/li&gt;
    &lt;li&gt;Reach: 105.5 in &lt;/li&gt;
    &lt;li&gt;Ape: +8.5 &lt;/li&gt;
    &lt;li&gt;++: wingspan &lt;/li&gt;
    &lt;li&gt;+: size, secondary ballhandling &lt;/li&gt;
    &lt;li&gt;-: athleticism &lt;/li&gt;
  &lt;/ul&gt;
  &lt;br&gt;</v>
      </c>
    </row>
    <row r="28" spans="1:53" ht="22" customHeight="1" x14ac:dyDescent="0.2">
      <c r="A28" t="s">
        <v>205</v>
      </c>
      <c r="B28" t="s">
        <v>13</v>
      </c>
      <c r="C28" s="3" t="s">
        <v>86</v>
      </c>
      <c r="D28" s="3" t="s">
        <v>72</v>
      </c>
      <c r="E28" s="9">
        <f t="shared" si="4"/>
        <v>21.510653493631711</v>
      </c>
      <c r="F28" s="7">
        <f t="shared" si="5"/>
        <v>79</v>
      </c>
      <c r="G28" s="7">
        <f t="shared" si="6"/>
        <v>243</v>
      </c>
      <c r="H28" s="7">
        <f t="shared" si="7"/>
        <v>83.75</v>
      </c>
      <c r="I28" s="7">
        <f t="shared" si="8"/>
        <v>103.5</v>
      </c>
      <c r="J28" s="7" t="str">
        <f t="shared" si="9"/>
        <v>+4.75</v>
      </c>
      <c r="K28" s="9">
        <f t="shared" si="10"/>
        <v>1.25</v>
      </c>
      <c r="M28" s="3" t="s">
        <v>477</v>
      </c>
      <c r="N28" s="3" t="s">
        <v>478</v>
      </c>
      <c r="Q28" s="19">
        <v>47.6</v>
      </c>
      <c r="R28" s="3">
        <f t="shared" si="17"/>
        <v>23</v>
      </c>
      <c r="S28" s="7">
        <f>IFERROR(IF(FLOOR(Q28,1)=FLOOR(Q27,1),S27, MAX(S$5:S27)+1),1)</f>
        <v>4</v>
      </c>
      <c r="T28" s="7">
        <f>IFERROR(INDEX(actual!A:A,MATCH(A28,actual!B:B,FALSE)), "")</f>
        <v>41</v>
      </c>
      <c r="U28" s="7" t="str">
        <f>IFERROR(INDEX(actual!C:C,MATCH(A28,actual!B:B,FALSE)), "")</f>
        <v>NOP</v>
      </c>
      <c r="V28" s="16" t="s">
        <v>301</v>
      </c>
      <c r="W28" s="16" t="s">
        <v>303</v>
      </c>
      <c r="X28" s="16" t="s">
        <v>302</v>
      </c>
      <c r="Y28" s="10">
        <v>36878</v>
      </c>
      <c r="Z28" s="13">
        <f t="shared" si="13"/>
        <v>25</v>
      </c>
      <c r="AA28" s="13">
        <f t="shared" si="14"/>
        <v>24</v>
      </c>
      <c r="AB28" s="13">
        <f t="shared" si="15"/>
        <v>36</v>
      </c>
      <c r="AC28" s="12">
        <f t="shared" si="16"/>
        <v>698</v>
      </c>
      <c r="AD28" s="20">
        <f t="shared" si="18"/>
        <v>313</v>
      </c>
      <c r="AE28" s="20">
        <f t="shared" si="18"/>
        <v>385</v>
      </c>
      <c r="AF28" s="13">
        <v>17</v>
      </c>
      <c r="AG28" s="13">
        <v>5</v>
      </c>
      <c r="AH28" s="13">
        <v>30</v>
      </c>
      <c r="AI28" s="13">
        <v>30</v>
      </c>
      <c r="AJ28" s="13">
        <v>51</v>
      </c>
      <c r="AK28" s="13">
        <v>24</v>
      </c>
      <c r="AL28" s="13">
        <v>28</v>
      </c>
      <c r="AN28" s="13">
        <v>21</v>
      </c>
      <c r="AO28" s="13">
        <v>3</v>
      </c>
      <c r="AP28" s="13">
        <v>39</v>
      </c>
      <c r="AQ28" s="13">
        <v>5</v>
      </c>
      <c r="AR28" s="13">
        <v>19</v>
      </c>
      <c r="AS28" s="13">
        <v>24</v>
      </c>
      <c r="AT28" s="13">
        <v>5</v>
      </c>
      <c r="AU28" s="13">
        <v>20</v>
      </c>
      <c r="AV28" s="13">
        <v>41</v>
      </c>
      <c r="AW28" s="2" t="str">
        <f>IFERROR(INDEX(measureables!$A:$J,MATCH($A28,measureables!$A:$A,FALSE),7), "")</f>
        <v>6' 7.00''</v>
      </c>
      <c r="AX28" s="2">
        <f>IFERROR(INDEX(measureables!$A:$J,MATCH($A28,measureables!$A:$A,FALSE),9), "")</f>
        <v>243</v>
      </c>
      <c r="AY28" s="2" t="str">
        <f>IFERROR(INDEX(measureables!$A:$J,MATCH($A28,measureables!$A:$A,FALSE),10), "")</f>
        <v>6' 11.75''</v>
      </c>
      <c r="AZ28" s="2" t="str">
        <f>IFERROR(INDEX(measureables!$A:$J,MATCH($A28,measureables!$A:$A,FALSE),8), "")</f>
        <v>8' 7.50''</v>
      </c>
      <c r="BA28" t="str">
        <f t="shared" si="19"/>
        <v xml:space="preserve">  &lt;li&gt;&lt;b&gt;&lt;a 
    target='_blank' href='https://www.nba.com/draft/2022/prospects/ej-liddell'&gt;E.J. Liddell&lt;/a&gt;&lt;/b&gt;
    - &lt;i&gt;
    &lt;a target='_blank' href='https://www.nbadraft.net/players/ej-liddell/'&gt;PF &lt;/a&gt;&lt;/b&gt;
    - 
    &lt;a target='_blank'href='https://www.sports-reference.com/cbb/players/ej-liddell-1.html'&gt;Ohio State&lt;/a&gt;&lt;/b&gt; &lt;/i&gt;&lt;/li&gt;
  &lt;ul style='list-style-type:none'&gt;
    &lt;li&gt;Grade: Junior &lt;/li&gt;
    &lt;li&gt;Age: 21.5 &lt;/li&gt;
    &lt;li&gt;Height: 79 in &lt;/li&gt;
    &lt;li&gt;Weight: 243 lbs &lt;/li&gt;
    &lt;li&gt;Wingspan: 83.75 in &lt;/li&gt;
    &lt;li&gt;Reach: 103.5 in &lt;/li&gt;
    &lt;li&gt;Ape: +4.75 &lt;/li&gt;
    &lt;li&gt;+: size, strength, basketball IQ &lt;/li&gt;
    &lt;li&gt;-: ballhandling, lateral athleticism &lt;/li&gt;
  &lt;/ul&gt;
  &lt;br&gt;</v>
      </c>
    </row>
    <row r="29" spans="1:53" ht="22" customHeight="1" x14ac:dyDescent="0.2">
      <c r="A29" t="s">
        <v>320</v>
      </c>
      <c r="B29" t="s">
        <v>13</v>
      </c>
      <c r="C29" s="3" t="s">
        <v>294</v>
      </c>
      <c r="D29" s="3" t="s">
        <v>19</v>
      </c>
      <c r="E29" s="9">
        <f t="shared" si="4"/>
        <v>19.576271186440678</v>
      </c>
      <c r="F29" s="7">
        <f t="shared" si="5"/>
        <v>80</v>
      </c>
      <c r="G29" s="7">
        <f t="shared" si="6"/>
        <v>197</v>
      </c>
      <c r="H29" s="7" t="str">
        <f t="shared" si="7"/>
        <v/>
      </c>
      <c r="I29" s="7" t="str">
        <f t="shared" si="8"/>
        <v/>
      </c>
      <c r="J29" s="7" t="str">
        <f t="shared" si="9"/>
        <v/>
      </c>
      <c r="K29" s="9" t="str">
        <f t="shared" si="10"/>
        <v/>
      </c>
      <c r="M29" s="3" t="s">
        <v>482</v>
      </c>
      <c r="N29" s="3" t="s">
        <v>481</v>
      </c>
      <c r="Q29" s="19">
        <v>47.5</v>
      </c>
      <c r="R29" s="3">
        <f t="shared" si="17"/>
        <v>24</v>
      </c>
      <c r="S29" s="7">
        <f>IFERROR(IF(FLOOR(Q29,1)=FLOOR(Q28,1),S28, MAX(S$5:S28)+1),1)</f>
        <v>4</v>
      </c>
      <c r="T29" s="7">
        <f>IFERROR(INDEX(actual!A:A,MATCH(A29,actual!B:B,FALSE)), "")</f>
        <v>45</v>
      </c>
      <c r="U29" s="7" t="str">
        <f>IFERROR(INDEX(actual!C:C,MATCH(A29,actual!B:B,FALSE)), "")</f>
        <v>MIN</v>
      </c>
      <c r="V29" s="4" t="str">
        <f t="shared" ref="V29:V36" si="22">HYPERLINK(IF(D29="", "https://www.basketball-reference.com/international", "https://www.sports-reference.com/cbb") &amp; "/players/" &amp; LOWER(SUBSTITUTE(A29, " ", "-") &amp; "-1.html"))</f>
        <v>https://www.sports-reference.com/cbb/players/josh-minott-1.html</v>
      </c>
      <c r="W29" s="4" t="str">
        <f t="shared" ref="W29:W45" si="23">HYPERLINK("https://www.nbadraft.net/players/" &amp; LOWER(SUBSTITUTE(A29, " ", "-") &amp; ""))</f>
        <v>https://www.nbadraft.net/players/josh-minott</v>
      </c>
      <c r="X29" s="17" t="str">
        <f t="shared" ref="X29:X45" si="24">HYPERLINK("https://www.nba.com/draft/2022/prospects/" &amp; LOWER(SUBSTITUTE(A29, " ", "-") &amp; ""))</f>
        <v>https://www.nba.com/draft/2022/prospects/josh-minott</v>
      </c>
      <c r="Y29" s="10">
        <v>37585</v>
      </c>
      <c r="Z29" s="13">
        <f t="shared" si="13"/>
        <v>28</v>
      </c>
      <c r="AA29" s="13">
        <f t="shared" si="14"/>
        <v>32</v>
      </c>
      <c r="AB29" s="13">
        <f t="shared" si="15"/>
        <v>25</v>
      </c>
      <c r="AC29" s="12">
        <f t="shared" si="16"/>
        <v>740</v>
      </c>
      <c r="AD29" s="20">
        <f t="shared" si="18"/>
        <v>412</v>
      </c>
      <c r="AE29" s="20">
        <f t="shared" si="18"/>
        <v>328</v>
      </c>
      <c r="AF29" s="13">
        <v>10</v>
      </c>
      <c r="AG29" s="13">
        <v>4</v>
      </c>
      <c r="AH29" s="13">
        <v>31</v>
      </c>
      <c r="AI29" s="13">
        <v>26</v>
      </c>
      <c r="AJ29" s="13">
        <v>37</v>
      </c>
      <c r="AK29" s="13">
        <v>17</v>
      </c>
      <c r="AL29" s="13">
        <v>24</v>
      </c>
      <c r="AN29" s="13">
        <v>38</v>
      </c>
      <c r="AO29" s="13">
        <v>4</v>
      </c>
      <c r="AP29" s="13">
        <v>37</v>
      </c>
      <c r="AQ29" s="13">
        <v>5</v>
      </c>
      <c r="AS29" s="13">
        <v>42</v>
      </c>
      <c r="AT29" s="13">
        <v>5</v>
      </c>
      <c r="AU29" s="13">
        <v>46</v>
      </c>
      <c r="AV29" s="13">
        <v>44</v>
      </c>
      <c r="AW29" s="2" t="str">
        <f>IFERROR(INDEX(measureables!$A:$J,MATCH($A29,measureables!$A:$A,FALSE),7), "")</f>
        <v>6' 8''</v>
      </c>
      <c r="AX29" s="2">
        <f>IFERROR(INDEX(measureables!$A:$J,MATCH($A29,measureables!$A:$A,FALSE),9), "")</f>
        <v>197</v>
      </c>
      <c r="AY29" s="2">
        <f>IFERROR(INDEX(measureables!$A:$J,MATCH($A29,measureables!$A:$A,FALSE),10), "")</f>
        <v>0</v>
      </c>
      <c r="AZ29" s="2">
        <f>IFERROR(INDEX(measureables!$A:$J,MATCH($A29,measureables!$A:$A,FALSE),8), "")</f>
        <v>0</v>
      </c>
      <c r="BA29" t="str">
        <f t="shared" si="19"/>
        <v xml:space="preserve">  &lt;li&gt;&lt;b&gt;&lt;a 
    target='_blank' href='https://www.nba.com/draft/2022/prospects/josh-minott'&gt;Josh Minott&lt;/a&gt;&lt;/b&gt;
    - &lt;i&gt;
    &lt;a target='_blank' href='https://www.nbadraft.net/players/josh-minott'&gt;PF &lt;/a&gt;&lt;/b&gt;
    - 
    &lt;a target='_blank'href='https://www.sports-reference.com/cbb/players/josh-minott-1.html'&gt;Memphis&lt;/a&gt;&lt;/b&gt; &lt;/i&gt;&lt;/li&gt;
  &lt;ul style='list-style-type:none'&gt;
    &lt;li&gt;Grade: Freshman &lt;/li&gt;
    &lt;li&gt;Age: 19.6 &lt;/li&gt;
    &lt;li&gt;Height: 80 in &lt;/li&gt;
    &lt;li&gt;Weight: 197 lbs &lt;/li&gt;
    &lt;li&gt;+: vertical athleticism, size, rebounding, on-ball defense &lt;/li&gt;
    &lt;li&gt;-: shooting, strength &lt;/li&gt;
  &lt;/ul&gt;
  &lt;br&gt;</v>
      </c>
    </row>
    <row r="30" spans="1:53" ht="22" customHeight="1" x14ac:dyDescent="0.2">
      <c r="A30" t="s">
        <v>188</v>
      </c>
      <c r="B30" t="s">
        <v>13</v>
      </c>
      <c r="C30" s="3" t="s">
        <v>318</v>
      </c>
      <c r="D30" s="3" t="s">
        <v>72</v>
      </c>
      <c r="E30" s="9">
        <f t="shared" si="4"/>
        <v>21.241568139390168</v>
      </c>
      <c r="F30" s="7">
        <f t="shared" si="5"/>
        <v>78</v>
      </c>
      <c r="G30" s="7">
        <f t="shared" si="6"/>
        <v>260.8</v>
      </c>
      <c r="H30" s="7">
        <f t="shared" si="7"/>
        <v>83.5</v>
      </c>
      <c r="I30" s="7">
        <f t="shared" si="8"/>
        <v>105</v>
      </c>
      <c r="J30" s="7" t="str">
        <f t="shared" si="9"/>
        <v>+5.5</v>
      </c>
      <c r="K30" s="9">
        <f t="shared" si="10"/>
        <v>1.3055555555555556</v>
      </c>
      <c r="M30" s="3" t="s">
        <v>480</v>
      </c>
      <c r="N30" s="3" t="s">
        <v>479</v>
      </c>
      <c r="Q30" s="19">
        <v>47.4</v>
      </c>
      <c r="R30" s="3">
        <f t="shared" si="17"/>
        <v>25</v>
      </c>
      <c r="S30" s="7">
        <f>IFERROR(IF(FLOOR(Q30,1)=FLOOR(Q29,1),S29, MAX(S$5:S29)+1),1)</f>
        <v>4</v>
      </c>
      <c r="T30" s="7">
        <f>IFERROR(INDEX(actual!A:A,MATCH(A30,actual!B:B,FALSE)), "")</f>
        <v>23</v>
      </c>
      <c r="U30" s="7" t="str">
        <f>IFERROR(INDEX(actual!C:C,MATCH(A30,actual!B:B,FALSE)), "")</f>
        <v>MEM</v>
      </c>
      <c r="V30" s="4" t="str">
        <f t="shared" si="22"/>
        <v>https://www.sports-reference.com/cbb/players/david-roddy-1.html</v>
      </c>
      <c r="W30" s="4" t="str">
        <f t="shared" si="23"/>
        <v>https://www.nbadraft.net/players/david-roddy</v>
      </c>
      <c r="X30" s="17" t="str">
        <f t="shared" si="24"/>
        <v>https://www.nba.com/draft/2022/prospects/david-roddy</v>
      </c>
      <c r="Y30" s="10">
        <v>36977</v>
      </c>
      <c r="Z30" s="13">
        <f t="shared" si="13"/>
        <v>27</v>
      </c>
      <c r="AA30" s="13">
        <f t="shared" si="14"/>
        <v>38</v>
      </c>
      <c r="AB30" s="13">
        <f t="shared" si="15"/>
        <v>18</v>
      </c>
      <c r="AC30" s="12">
        <f t="shared" si="16"/>
        <v>718</v>
      </c>
      <c r="AD30" s="20">
        <f t="shared" si="18"/>
        <v>485</v>
      </c>
      <c r="AE30" s="20">
        <f t="shared" si="18"/>
        <v>233</v>
      </c>
      <c r="AF30" s="13">
        <v>40</v>
      </c>
      <c r="AG30" s="13">
        <v>9</v>
      </c>
      <c r="AH30" s="13">
        <v>16</v>
      </c>
      <c r="AJ30" s="13">
        <v>20</v>
      </c>
      <c r="AK30" s="13">
        <v>34</v>
      </c>
      <c r="AL30" s="13">
        <v>15</v>
      </c>
      <c r="AN30" s="13">
        <v>37</v>
      </c>
      <c r="AO30" s="13">
        <v>4</v>
      </c>
      <c r="AP30" s="13">
        <v>35</v>
      </c>
      <c r="AQ30" s="13">
        <v>5</v>
      </c>
      <c r="AR30" s="13">
        <v>37</v>
      </c>
      <c r="AS30" s="13">
        <v>62</v>
      </c>
      <c r="AT30" s="13">
        <v>6</v>
      </c>
      <c r="AU30" s="13">
        <v>30</v>
      </c>
      <c r="AW30" s="2" t="str">
        <f>IFERROR(INDEX(measureables!$A:$J,MATCH($A30,measureables!$A:$A,FALSE),7), "")</f>
        <v>6' 6.00''</v>
      </c>
      <c r="AX30" s="2">
        <f>IFERROR(INDEX(measureables!$A:$J,MATCH($A30,measureables!$A:$A,FALSE),9), "")</f>
        <v>260.8</v>
      </c>
      <c r="AY30" s="2" t="str">
        <f>IFERROR(INDEX(measureables!$A:$J,MATCH($A30,measureables!$A:$A,FALSE),10), "")</f>
        <v>6' 11.50''</v>
      </c>
      <c r="AZ30" s="2" t="str">
        <f>IFERROR(INDEX(measureables!$A:$J,MATCH($A30,measureables!$A:$A,FALSE),8), "")</f>
        <v>8' 9.00''</v>
      </c>
      <c r="BA30" t="str">
        <f t="shared" si="19"/>
        <v xml:space="preserve">  &lt;li&gt;&lt;b&gt;&lt;a 
    target='_blank' href='https://www.nba.com/draft/2022/prospects/david-roddy'&gt;David Roddy&lt;/a&gt;&lt;/b&gt;
    - &lt;i&gt;
    &lt;a target='_blank' href='https://www.nbadraft.net/players/david-roddy'&gt;PF &lt;/a&gt;&lt;/b&gt;
    - 
    &lt;a target='_blank'href='https://www.sports-reference.com/cbb/players/david-roddy-1.html'&gt;Colorado State&lt;/a&gt;&lt;/b&gt; &lt;/i&gt;&lt;/li&gt;
  &lt;ul style='list-style-type:none'&gt;
    &lt;li&gt;Grade: Junior &lt;/li&gt;
    &lt;li&gt;Age: 21.2 &lt;/li&gt;
    &lt;li&gt;Height: 78 in &lt;/li&gt;
    &lt;li&gt;Weight: 260.8 lbs &lt;/li&gt;
    &lt;li&gt;Wingspan: 83.5 in &lt;/li&gt;
    &lt;li&gt;Reach: 105 in &lt;/li&gt;
    &lt;li&gt;Ape: +5.5 &lt;/li&gt;
    &lt;li&gt;+: strength, wingspan, basketball IQ &lt;/li&gt;
    &lt;li&gt;-: height, lateral athleticism &lt;/li&gt;
  &lt;/ul&gt;
  &lt;br&gt;</v>
      </c>
    </row>
    <row r="31" spans="1:53" ht="22" customHeight="1" x14ac:dyDescent="0.2">
      <c r="A31" t="s">
        <v>210</v>
      </c>
      <c r="B31" t="s">
        <v>14</v>
      </c>
      <c r="C31" s="3" t="s">
        <v>71</v>
      </c>
      <c r="D31" s="3" t="s">
        <v>19</v>
      </c>
      <c r="E31" s="9">
        <f t="shared" si="4"/>
        <v>19.118412046543462</v>
      </c>
      <c r="F31" s="7">
        <f t="shared" si="5"/>
        <v>79.5</v>
      </c>
      <c r="G31" s="7">
        <f t="shared" si="6"/>
        <v>201.2</v>
      </c>
      <c r="H31" s="7">
        <f t="shared" si="7"/>
        <v>83</v>
      </c>
      <c r="I31" s="7">
        <f t="shared" si="8"/>
        <v>103</v>
      </c>
      <c r="J31" s="7" t="str">
        <f t="shared" si="9"/>
        <v>+3.5</v>
      </c>
      <c r="K31" s="9">
        <f t="shared" si="10"/>
        <v>1.1794871794871795</v>
      </c>
      <c r="M31" s="3" t="s">
        <v>471</v>
      </c>
      <c r="N31" s="3" t="s">
        <v>472</v>
      </c>
      <c r="Q31" s="19">
        <v>47.3</v>
      </c>
      <c r="R31" s="3">
        <f t="shared" si="17"/>
        <v>26</v>
      </c>
      <c r="S31" s="7">
        <f>IFERROR(IF(FLOOR(Q31,1)=FLOOR(Q30,1),S30, MAX(S$5:S30)+1),1)</f>
        <v>4</v>
      </c>
      <c r="T31" s="7">
        <f>IFERROR(INDEX(actual!A:A,MATCH(A31,actual!B:B,FALSE)), "")</f>
        <v>48</v>
      </c>
      <c r="U31" s="7" t="str">
        <f>IFERROR(INDEX(actual!C:C,MATCH(A31,actual!B:B,FALSE)), "")</f>
        <v>IND</v>
      </c>
      <c r="V31" s="4" t="str">
        <f t="shared" si="22"/>
        <v>https://www.sports-reference.com/cbb/players/kendall-brown-1.html</v>
      </c>
      <c r="W31" s="4" t="str">
        <f t="shared" si="23"/>
        <v>https://www.nbadraft.net/players/kendall-brown</v>
      </c>
      <c r="X31" s="17" t="str">
        <f t="shared" si="24"/>
        <v>https://www.nba.com/draft/2022/prospects/kendall-brown</v>
      </c>
      <c r="Y31" s="10">
        <v>37752</v>
      </c>
      <c r="Z31" s="13">
        <f t="shared" si="13"/>
        <v>22</v>
      </c>
      <c r="AA31" s="13">
        <f t="shared" si="14"/>
        <v>21</v>
      </c>
      <c r="AB31" s="13">
        <f t="shared" si="15"/>
        <v>31</v>
      </c>
      <c r="AC31" s="12">
        <f t="shared" si="16"/>
        <v>647</v>
      </c>
      <c r="AD31" s="20">
        <f t="shared" si="18"/>
        <v>304</v>
      </c>
      <c r="AE31" s="20">
        <f t="shared" si="18"/>
        <v>343</v>
      </c>
      <c r="AF31" s="13">
        <v>15</v>
      </c>
      <c r="AG31" s="13">
        <v>5</v>
      </c>
      <c r="AH31" s="13">
        <v>33</v>
      </c>
      <c r="AJ31" s="13">
        <v>31</v>
      </c>
      <c r="AK31" s="13">
        <v>18</v>
      </c>
      <c r="AN31" s="13">
        <v>18</v>
      </c>
      <c r="AO31" s="13">
        <v>3</v>
      </c>
      <c r="AP31" s="13">
        <v>20</v>
      </c>
      <c r="AQ31" s="13">
        <v>4</v>
      </c>
      <c r="AR31" s="13">
        <v>33</v>
      </c>
      <c r="AS31" s="13">
        <v>35</v>
      </c>
      <c r="AT31" s="13">
        <v>5</v>
      </c>
      <c r="AU31" s="13">
        <v>38</v>
      </c>
      <c r="AV31" s="13">
        <v>10</v>
      </c>
      <c r="AW31" s="2" t="str">
        <f>IFERROR(INDEX(measureables!$A:$J,MATCH($A31,measureables!$A:$A,FALSE),7), "")</f>
        <v>6' 7.50''</v>
      </c>
      <c r="AX31" s="2">
        <f>IFERROR(INDEX(measureables!$A:$J,MATCH($A31,measureables!$A:$A,FALSE),9), "")</f>
        <v>201.2</v>
      </c>
      <c r="AY31" s="2" t="str">
        <f>IFERROR(INDEX(measureables!$A:$J,MATCH($A31,measureables!$A:$A,FALSE),10), "")</f>
        <v>6' 11.00''</v>
      </c>
      <c r="AZ31" s="2" t="str">
        <f>IFERROR(INDEX(measureables!$A:$J,MATCH($A31,measureables!$A:$A,FALSE),8), "")</f>
        <v>8' 7.00''</v>
      </c>
      <c r="BA31" t="str">
        <f t="shared" si="19"/>
        <v xml:space="preserve">  &lt;li&gt;&lt;b&gt;&lt;a 
    target='_blank' href='https://www.nba.com/draft/2022/prospects/kendall-brown'&gt;Kendall Brown&lt;/a&gt;&lt;/b&gt;
    - &lt;i&gt;
    &lt;a target='_blank' href='https://www.nbadraft.net/players/kendall-brown'&gt;SF &lt;/a&gt;&lt;/b&gt;
    - 
    &lt;a target='_blank'href='https://www.sports-reference.com/cbb/players/kendall-brown-1.html'&gt;Baylor&lt;/a&gt;&lt;/b&gt; &lt;/i&gt;&lt;/li&gt;
  &lt;ul style='list-style-type:none'&gt;
    &lt;li&gt;Grade: Freshman &lt;/li&gt;
    &lt;li&gt;Age: 19.1 &lt;/li&gt;
    &lt;li&gt;Height: 79.5 in &lt;/li&gt;
    &lt;li&gt;Weight: 201.2 lbs &lt;/li&gt;
    &lt;li&gt;Wingspan: 83 in &lt;/li&gt;
    &lt;li&gt;Reach: 103 in &lt;/li&gt;
    &lt;li&gt;Ape: +3.5 &lt;/li&gt;
    &lt;li&gt;+: age, size, athleticism &lt;/li&gt;
    &lt;li&gt;-: production, shooting &lt;/li&gt;
  &lt;/ul&gt;
  &lt;br&gt;</v>
      </c>
    </row>
    <row r="32" spans="1:53" ht="22" customHeight="1" x14ac:dyDescent="0.2">
      <c r="A32" t="s">
        <v>229</v>
      </c>
      <c r="B32" t="s">
        <v>16</v>
      </c>
      <c r="C32" s="3" t="s">
        <v>321</v>
      </c>
      <c r="D32" s="3" t="s">
        <v>66</v>
      </c>
      <c r="E32" s="9">
        <f t="shared" si="4"/>
        <v>19.973272490221643</v>
      </c>
      <c r="F32" s="7">
        <f t="shared" si="5"/>
        <v>75.25</v>
      </c>
      <c r="G32" s="7">
        <f t="shared" si="6"/>
        <v>179.2</v>
      </c>
      <c r="H32" s="7">
        <f t="shared" si="7"/>
        <v>81.75</v>
      </c>
      <c r="I32" s="7">
        <f t="shared" si="8"/>
        <v>100.5</v>
      </c>
      <c r="J32" s="7" t="str">
        <f t="shared" si="9"/>
        <v>+6.5</v>
      </c>
      <c r="K32" s="9">
        <f t="shared" si="10"/>
        <v>1.4262295081967213</v>
      </c>
      <c r="L32" s="3" t="s">
        <v>470</v>
      </c>
      <c r="M32" s="3" t="s">
        <v>385</v>
      </c>
      <c r="N32" s="3" t="s">
        <v>389</v>
      </c>
      <c r="Q32" s="19">
        <v>47.2</v>
      </c>
      <c r="R32" s="3">
        <f t="shared" si="17"/>
        <v>27</v>
      </c>
      <c r="S32" s="7">
        <f>IFERROR(IF(FLOOR(Q32,1)=FLOOR(Q31,1),S31, MAX(S$5:S31)+1),1)</f>
        <v>4</v>
      </c>
      <c r="T32" s="7">
        <f>IFERROR(INDEX(actual!A:A,MATCH(A32,actual!B:B,FALSE)), "")</f>
        <v>44</v>
      </c>
      <c r="U32" s="7" t="str">
        <f>IFERROR(INDEX(actual!C:C,MATCH(A32,actual!B:B,FALSE)), "")</f>
        <v>GSW</v>
      </c>
      <c r="V32" s="4" t="str">
        <f t="shared" si="22"/>
        <v>https://www.sports-reference.com/cbb/players/ryan-rollins-1.html</v>
      </c>
      <c r="W32" s="4" t="str">
        <f t="shared" si="23"/>
        <v>https://www.nbadraft.net/players/ryan-rollins</v>
      </c>
      <c r="X32" s="17" t="str">
        <f t="shared" si="24"/>
        <v>https://www.nba.com/draft/2022/prospects/ryan-rollins</v>
      </c>
      <c r="Y32" s="10">
        <v>37440</v>
      </c>
      <c r="Z32" s="13">
        <f t="shared" si="13"/>
        <v>23</v>
      </c>
      <c r="AA32" s="13">
        <f t="shared" si="14"/>
        <v>35</v>
      </c>
      <c r="AB32" s="13">
        <f t="shared" si="15"/>
        <v>19</v>
      </c>
      <c r="AC32" s="12">
        <f t="shared" si="16"/>
        <v>675</v>
      </c>
      <c r="AD32" s="20">
        <f t="shared" si="18"/>
        <v>433</v>
      </c>
      <c r="AE32" s="20">
        <f t="shared" si="18"/>
        <v>242</v>
      </c>
      <c r="AF32" s="13">
        <v>21</v>
      </c>
      <c r="AG32" s="13">
        <v>6</v>
      </c>
      <c r="AH32" s="13">
        <v>19</v>
      </c>
      <c r="AJ32" s="13">
        <v>22</v>
      </c>
      <c r="AK32" s="13">
        <v>31</v>
      </c>
      <c r="AL32" s="13">
        <v>9</v>
      </c>
      <c r="AN32" s="13">
        <v>32</v>
      </c>
      <c r="AO32" s="13">
        <v>4</v>
      </c>
      <c r="AP32" s="13">
        <v>47</v>
      </c>
      <c r="AQ32" s="13">
        <v>5</v>
      </c>
      <c r="AS32" s="13">
        <v>33</v>
      </c>
      <c r="AT32" s="13">
        <v>5</v>
      </c>
      <c r="AU32" s="13">
        <v>40</v>
      </c>
      <c r="AW32" s="2" t="str">
        <f>IFERROR(INDEX(measureables!$A:$J,MATCH($A32,measureables!$A:$A,FALSE),7), "")</f>
        <v>6' 3.25''</v>
      </c>
      <c r="AX32" s="2">
        <f>IFERROR(INDEX(measureables!$A:$J,MATCH($A32,measureables!$A:$A,FALSE),9), "")</f>
        <v>179.2</v>
      </c>
      <c r="AY32" s="2" t="str">
        <f>IFERROR(INDEX(measureables!$A:$J,MATCH($A32,measureables!$A:$A,FALSE),10), "")</f>
        <v>6' 9.75''</v>
      </c>
      <c r="AZ32" s="2" t="str">
        <f>IFERROR(INDEX(measureables!$A:$J,MATCH($A32,measureables!$A:$A,FALSE),8), "")</f>
        <v>8' 4.50''</v>
      </c>
      <c r="BA32" t="str">
        <f t="shared" si="19"/>
        <v xml:space="preserve">  &lt;li&gt;&lt;b&gt;&lt;a 
    target='_blank' href='https://www.nba.com/draft/2022/prospects/ryan-rollins'&gt;Ryan Rollins&lt;/a&gt;&lt;/b&gt;
    - &lt;i&gt;
    &lt;a target='_blank' href='https://www.nbadraft.net/players/ryan-rollins'&gt;SG &lt;/a&gt;&lt;/b&gt;
    - 
    &lt;a target='_blank'href='https://www.sports-reference.com/cbb/players/ryan-rollins-1.html'&gt;Toledo&lt;/a&gt;&lt;/b&gt; &lt;/i&gt;&lt;/li&gt;
  &lt;ul style='list-style-type:none'&gt;
    &lt;li&gt;Grade: Sophomore &lt;/li&gt;
    &lt;li&gt;Age: 20 &lt;/li&gt;
    &lt;li&gt;Height: 75.25 in &lt;/li&gt;
    &lt;li&gt;Weight: 179.2 lbs &lt;/li&gt;
    &lt;li&gt;Wingspan: 81.75 in &lt;/li&gt;
    &lt;li&gt;Reach: 100.5 in &lt;/li&gt;
    &lt;li&gt;Ape: +6.5 &lt;/li&gt;
    &lt;li&gt;++: production, length &lt;/li&gt;
    &lt;li&gt;+: age &lt;/li&gt;
    &lt;li&gt;-: shooting &lt;/li&gt;
  &lt;/ul&gt;
  &lt;br&gt;</v>
      </c>
    </row>
    <row r="33" spans="1:53" ht="22" customHeight="1" x14ac:dyDescent="0.2">
      <c r="A33" t="s">
        <v>247</v>
      </c>
      <c r="B33" t="s">
        <v>15</v>
      </c>
      <c r="C33" s="3" t="s">
        <v>70</v>
      </c>
      <c r="D33" s="3" t="s">
        <v>19</v>
      </c>
      <c r="E33" s="9">
        <f t="shared" si="4"/>
        <v>19.76792698826597</v>
      </c>
      <c r="F33" s="7">
        <f t="shared" si="5"/>
        <v>72.5</v>
      </c>
      <c r="G33" s="7">
        <f t="shared" si="6"/>
        <v>172.2</v>
      </c>
      <c r="H33" s="7">
        <f t="shared" si="7"/>
        <v>77.25</v>
      </c>
      <c r="I33" s="7">
        <f t="shared" si="8"/>
        <v>97</v>
      </c>
      <c r="J33" s="7" t="str">
        <f t="shared" si="9"/>
        <v>+4.75</v>
      </c>
      <c r="K33" s="9">
        <f t="shared" si="10"/>
        <v>1.38</v>
      </c>
      <c r="M33" s="3" t="s">
        <v>451</v>
      </c>
      <c r="N33" s="3" t="s">
        <v>450</v>
      </c>
      <c r="Q33" s="19">
        <v>47.1</v>
      </c>
      <c r="R33" s="3">
        <f t="shared" si="17"/>
        <v>28</v>
      </c>
      <c r="S33" s="7">
        <f>IFERROR(IF(FLOOR(Q33,1)=FLOOR(Q32,1),S32, MAX(S$5:S32)+1),1)</f>
        <v>4</v>
      </c>
      <c r="T33" s="7">
        <f>IFERROR(INDEX(actual!A:A,MATCH(A33,actual!B:B,FALSE)), "")</f>
        <v>38</v>
      </c>
      <c r="U33" s="7" t="str">
        <f>IFERROR(INDEX(actual!C:C,MATCH(A33,actual!B:B,FALSE)), "")</f>
        <v>MEM</v>
      </c>
      <c r="V33" s="4" t="str">
        <f t="shared" si="22"/>
        <v>https://www.sports-reference.com/cbb/players/kennedy-chandler-1.html</v>
      </c>
      <c r="W33" s="4" t="str">
        <f t="shared" si="23"/>
        <v>https://www.nbadraft.net/players/kennedy-chandler</v>
      </c>
      <c r="X33" s="17" t="str">
        <f t="shared" si="24"/>
        <v>https://www.nba.com/draft/2022/prospects/kennedy-chandler</v>
      </c>
      <c r="Y33" s="10">
        <v>37515</v>
      </c>
      <c r="Z33" s="13">
        <f t="shared" si="13"/>
        <v>14</v>
      </c>
      <c r="AA33" s="13">
        <f t="shared" si="14"/>
        <v>23</v>
      </c>
      <c r="AB33" s="13">
        <f t="shared" si="15"/>
        <v>10</v>
      </c>
      <c r="AC33" s="12">
        <f t="shared" si="16"/>
        <v>475</v>
      </c>
      <c r="AD33" s="20">
        <f t="shared" si="18"/>
        <v>312</v>
      </c>
      <c r="AE33" s="20">
        <f t="shared" si="18"/>
        <v>163</v>
      </c>
      <c r="AF33" s="13">
        <v>26</v>
      </c>
      <c r="AG33" s="13">
        <v>7</v>
      </c>
      <c r="AH33" s="13">
        <v>14</v>
      </c>
      <c r="AI33" s="13">
        <v>14</v>
      </c>
      <c r="AJ33" s="13">
        <v>9</v>
      </c>
      <c r="AK33" s="13">
        <v>12</v>
      </c>
      <c r="AN33" s="13">
        <v>23</v>
      </c>
      <c r="AO33" s="13">
        <v>3</v>
      </c>
      <c r="AP33" s="13">
        <v>26</v>
      </c>
      <c r="AQ33" s="13">
        <v>4</v>
      </c>
      <c r="AR33" s="13">
        <v>23</v>
      </c>
      <c r="AS33" s="13">
        <v>36</v>
      </c>
      <c r="AT33" s="13">
        <v>5</v>
      </c>
      <c r="AU33" s="13">
        <v>19</v>
      </c>
      <c r="AV33" s="13">
        <v>6</v>
      </c>
      <c r="AW33" s="2" t="str">
        <f>IFERROR(INDEX(measureables!$A:$J,MATCH($A33,measureables!$A:$A,FALSE),7), "")</f>
        <v>6' 0.50''</v>
      </c>
      <c r="AX33" s="2">
        <f>IFERROR(INDEX(measureables!$A:$J,MATCH($A33,measureables!$A:$A,FALSE),9), "")</f>
        <v>172.2</v>
      </c>
      <c r="AY33" s="2" t="str">
        <f>IFERROR(INDEX(measureables!$A:$J,MATCH($A33,measureables!$A:$A,FALSE),10), "")</f>
        <v>6' 5.25''</v>
      </c>
      <c r="AZ33" s="2" t="str">
        <f>IFERROR(INDEX(measureables!$A:$J,MATCH($A33,measureables!$A:$A,FALSE),8), "")</f>
        <v>8' 1.00''</v>
      </c>
      <c r="BA33" t="str">
        <f t="shared" si="19"/>
        <v xml:space="preserve">  &lt;li&gt;&lt;b&gt;&lt;a 
    target='_blank' href='https://www.nba.com/draft/2022/prospects/kennedy-chandler'&gt;Kennedy Chandler&lt;/a&gt;&lt;/b&gt;
    - &lt;i&gt;
    &lt;a target='_blank' href='https://www.nbadraft.net/players/kennedy-chandler'&gt;PG &lt;/a&gt;&lt;/b&gt;
    - 
    &lt;a target='_blank'href='https://www.sports-reference.com/cbb/players/kennedy-chandler-1.html'&gt;Tennessee&lt;/a&gt;&lt;/b&gt; &lt;/i&gt;&lt;/li&gt;
  &lt;ul style='list-style-type:none'&gt;
    &lt;li&gt;Grade: Freshman &lt;/li&gt;
    &lt;li&gt;Age: 19.8 &lt;/li&gt;
    &lt;li&gt;Height: 72.5 in &lt;/li&gt;
    &lt;li&gt;Weight: 172.2 lbs &lt;/li&gt;
    &lt;li&gt;Wingspan: 77.25 in &lt;/li&gt;
    &lt;li&gt;Reach: 97 in &lt;/li&gt;
    &lt;li&gt;Ape: +4.75 &lt;/li&gt;
    &lt;li&gt;+: playmaking, dribble penetration, forcing turnovers, vertical athleticism &lt;/li&gt;
    &lt;li&gt;-: age, size, shooting &lt;/li&gt;
  &lt;/ul&gt;
  &lt;br&gt;</v>
      </c>
    </row>
    <row r="34" spans="1:53" ht="22" customHeight="1" x14ac:dyDescent="0.2">
      <c r="A34" t="s">
        <v>214</v>
      </c>
      <c r="B34" t="s">
        <v>16</v>
      </c>
      <c r="C34" s="3" t="s">
        <v>86</v>
      </c>
      <c r="D34" s="3" t="s">
        <v>19</v>
      </c>
      <c r="E34" s="9">
        <f t="shared" si="4"/>
        <v>19.115674195756331</v>
      </c>
      <c r="F34" s="7">
        <f t="shared" si="5"/>
        <v>77.5</v>
      </c>
      <c r="G34" s="7">
        <f t="shared" si="6"/>
        <v>194.8</v>
      </c>
      <c r="H34" s="7">
        <f t="shared" si="7"/>
        <v>82</v>
      </c>
      <c r="I34" s="7">
        <f t="shared" si="8"/>
        <v>102.5</v>
      </c>
      <c r="J34" s="7" t="str">
        <f t="shared" si="9"/>
        <v>+4.5</v>
      </c>
      <c r="K34" s="9">
        <f t="shared" si="10"/>
        <v>1.2571428571428571</v>
      </c>
      <c r="L34" s="3" t="s">
        <v>458</v>
      </c>
      <c r="M34" s="3" t="s">
        <v>459</v>
      </c>
      <c r="N34" s="3" t="s">
        <v>460</v>
      </c>
      <c r="Q34" s="19">
        <v>47.09</v>
      </c>
      <c r="R34" s="3">
        <f t="shared" si="17"/>
        <v>29</v>
      </c>
      <c r="S34" s="7">
        <f>IFERROR(IF(FLOOR(Q34,1)=FLOOR(Q33,1),S33, MAX(S$5:S33)+1),1)</f>
        <v>4</v>
      </c>
      <c r="T34" s="7">
        <f>IFERROR(INDEX(actual!A:A,MATCH(A34,actual!B:B,FALSE)), "")</f>
        <v>20</v>
      </c>
      <c r="U34" s="7" t="str">
        <f>IFERROR(INDEX(actual!C:C,MATCH(A34,actual!B:B,FALSE)), "")</f>
        <v>SAS</v>
      </c>
      <c r="V34" s="4" t="str">
        <f t="shared" si="22"/>
        <v>https://www.sports-reference.com/cbb/players/malaki-branham-1.html</v>
      </c>
      <c r="W34" s="4" t="str">
        <f t="shared" si="23"/>
        <v>https://www.nbadraft.net/players/malaki-branham</v>
      </c>
      <c r="X34" s="17" t="str">
        <f t="shared" si="24"/>
        <v>https://www.nba.com/draft/2022/prospects/malaki-branham</v>
      </c>
      <c r="Y34" s="10">
        <v>37753</v>
      </c>
      <c r="Z34" s="13">
        <f t="shared" si="13"/>
        <v>17</v>
      </c>
      <c r="AA34" s="13">
        <f t="shared" si="14"/>
        <v>15</v>
      </c>
      <c r="AB34" s="13">
        <f t="shared" si="15"/>
        <v>17</v>
      </c>
      <c r="AC34" s="12">
        <f t="shared" si="16"/>
        <v>491</v>
      </c>
      <c r="AD34" s="20">
        <f t="shared" si="18"/>
        <v>259</v>
      </c>
      <c r="AE34" s="20">
        <f t="shared" si="18"/>
        <v>232</v>
      </c>
      <c r="AF34" s="13">
        <v>25</v>
      </c>
      <c r="AG34" s="13">
        <v>7</v>
      </c>
      <c r="AH34" s="13">
        <v>29</v>
      </c>
      <c r="AI34" s="13">
        <v>17</v>
      </c>
      <c r="AJ34" s="13">
        <v>18</v>
      </c>
      <c r="AK34" s="13">
        <v>16</v>
      </c>
      <c r="AL34" s="13">
        <v>12</v>
      </c>
      <c r="AN34" s="13">
        <v>22</v>
      </c>
      <c r="AO34" s="13">
        <v>3</v>
      </c>
      <c r="AP34" s="13">
        <v>14</v>
      </c>
      <c r="AQ34" s="13">
        <v>3</v>
      </c>
      <c r="AR34" s="13">
        <v>14</v>
      </c>
      <c r="AS34" s="13">
        <v>21</v>
      </c>
      <c r="AT34" s="13">
        <v>4</v>
      </c>
      <c r="AU34" s="13">
        <v>13</v>
      </c>
      <c r="AV34" s="13">
        <v>32</v>
      </c>
      <c r="AW34" s="2" t="str">
        <f>IFERROR(INDEX(measureables!$A:$J,MATCH($A34,measureables!$A:$A,FALSE),7), "")</f>
        <v>6' 5.50''</v>
      </c>
      <c r="AX34" s="2">
        <f>IFERROR(INDEX(measureables!$A:$J,MATCH($A34,measureables!$A:$A,FALSE),9), "")</f>
        <v>194.8</v>
      </c>
      <c r="AY34" s="2" t="str">
        <f>IFERROR(INDEX(measureables!$A:$J,MATCH($A34,measureables!$A:$A,FALSE),10), "")</f>
        <v>6' 10.00''</v>
      </c>
      <c r="AZ34" s="2" t="str">
        <f>IFERROR(INDEX(measureables!$A:$J,MATCH($A34,measureables!$A:$A,FALSE),8), "")</f>
        <v>8' 6.50''</v>
      </c>
      <c r="BA34" t="str">
        <f t="shared" si="19"/>
        <v xml:space="preserve">  &lt;li&gt;&lt;b&gt;&lt;a 
    target='_blank' href='https://www.nba.com/draft/2022/prospects/malaki-branham'&gt;Malaki Branham&lt;/a&gt;&lt;/b&gt;
    - &lt;i&gt;
    &lt;a target='_blank' href='https://www.nbadraft.net/players/malaki-branham'&gt;SG &lt;/a&gt;&lt;/b&gt;
    - 
    &lt;a target='_blank'href='https://www.sports-reference.com/cbb/players/malaki-branham-1.html'&gt;Ohio State&lt;/a&gt;&lt;/b&gt; &lt;/i&gt;&lt;/li&gt;
  &lt;ul style='list-style-type:none'&gt;
    &lt;li&gt;Grade: Freshman &lt;/li&gt;
    &lt;li&gt;Age: 19.1 &lt;/li&gt;
    &lt;li&gt;Height: 77.5 in &lt;/li&gt;
    &lt;li&gt;Weight: 194.8 lbs &lt;/li&gt;
    &lt;li&gt;Wingspan: 82 in &lt;/li&gt;
    &lt;li&gt;Reach: 102.5 in &lt;/li&gt;
    &lt;li&gt;Ape: +4.5 &lt;/li&gt;
    &lt;li&gt;++: scoring &lt;/li&gt;
    &lt;li&gt;+: age, size &lt;/li&gt;
    &lt;li&gt;-: defense &lt;/li&gt;
  &lt;/ul&gt;
  &lt;br&gt;</v>
      </c>
    </row>
    <row r="35" spans="1:53" ht="22" customHeight="1" x14ac:dyDescent="0.2">
      <c r="A35" t="s">
        <v>232</v>
      </c>
      <c r="B35" t="s">
        <v>16</v>
      </c>
      <c r="C35" s="3" t="s">
        <v>298</v>
      </c>
      <c r="D35" s="3" t="s">
        <v>72</v>
      </c>
      <c r="E35" s="9">
        <f t="shared" si="4"/>
        <v>21.184069695084006</v>
      </c>
      <c r="F35" s="7">
        <f t="shared" si="5"/>
        <v>79</v>
      </c>
      <c r="G35" s="7">
        <f t="shared" si="6"/>
        <v>209.2</v>
      </c>
      <c r="H35" s="7">
        <f t="shared" si="7"/>
        <v>78.5</v>
      </c>
      <c r="I35" s="7">
        <f t="shared" si="8"/>
        <v>99.5</v>
      </c>
      <c r="J35" s="7" t="str">
        <f t="shared" si="9"/>
        <v>-0.5</v>
      </c>
      <c r="K35" s="9">
        <f t="shared" si="10"/>
        <v>0.97368421052631582</v>
      </c>
      <c r="M35" s="3" t="s">
        <v>402</v>
      </c>
      <c r="N35" s="3" t="s">
        <v>0</v>
      </c>
      <c r="Q35" s="19">
        <v>47.08</v>
      </c>
      <c r="R35" s="3">
        <f t="shared" si="17"/>
        <v>30</v>
      </c>
      <c r="S35" s="7">
        <f>IFERROR(IF(FLOOR(Q35,1)=FLOOR(Q34,1),S34, MAX(S$5:S34)+1),1)</f>
        <v>4</v>
      </c>
      <c r="T35" s="7">
        <f>IFERROR(INDEX(actual!A:A,MATCH(A35,actual!B:B,FALSE)), "")</f>
        <v>21</v>
      </c>
      <c r="U35" s="7" t="str">
        <f>IFERROR(INDEX(actual!C:C,MATCH(A35,actual!B:B,FALSE)), "")</f>
        <v>DEN</v>
      </c>
      <c r="V35" s="4" t="str">
        <f t="shared" si="22"/>
        <v>https://www.sports-reference.com/cbb/players/christian-braun-1.html</v>
      </c>
      <c r="W35" s="4" t="str">
        <f t="shared" si="23"/>
        <v>https://www.nbadraft.net/players/christian-braun</v>
      </c>
      <c r="X35" s="17" t="str">
        <f t="shared" si="24"/>
        <v>https://www.nba.com/draft/2022/prospects/christian-braun</v>
      </c>
      <c r="Y35" s="10">
        <v>36998</v>
      </c>
      <c r="Z35" s="13">
        <f t="shared" si="13"/>
        <v>24</v>
      </c>
      <c r="AA35" s="13">
        <f t="shared" si="14"/>
        <v>28</v>
      </c>
      <c r="AB35" s="13">
        <f t="shared" si="15"/>
        <v>27</v>
      </c>
      <c r="AC35" s="12">
        <f t="shared" si="16"/>
        <v>690</v>
      </c>
      <c r="AD35" s="20">
        <f t="shared" si="18"/>
        <v>353</v>
      </c>
      <c r="AE35" s="20">
        <f t="shared" si="18"/>
        <v>337</v>
      </c>
      <c r="AF35" s="13">
        <v>31</v>
      </c>
      <c r="AG35" s="13">
        <v>8</v>
      </c>
      <c r="AI35" s="13">
        <v>16</v>
      </c>
      <c r="AJ35" s="13">
        <v>10</v>
      </c>
      <c r="AK35" s="13">
        <v>35</v>
      </c>
      <c r="AN35" s="13">
        <v>25</v>
      </c>
      <c r="AO35" s="13">
        <v>3</v>
      </c>
      <c r="AP35" s="13">
        <v>21</v>
      </c>
      <c r="AQ35" s="13">
        <v>4</v>
      </c>
      <c r="AR35" s="13">
        <v>32</v>
      </c>
      <c r="AS35" s="13">
        <v>23</v>
      </c>
      <c r="AT35" s="13">
        <v>5</v>
      </c>
      <c r="AU35" s="13">
        <v>29</v>
      </c>
      <c r="AW35" s="2" t="str">
        <f>IFERROR(INDEX(measureables!$A:$J,MATCH($A35,measureables!$A:$A,FALSE),7), "")</f>
        <v>6' 7.00''</v>
      </c>
      <c r="AX35" s="2">
        <f>IFERROR(INDEX(measureables!$A:$J,MATCH($A35,measureables!$A:$A,FALSE),9), "")</f>
        <v>209.2</v>
      </c>
      <c r="AY35" s="2" t="str">
        <f>IFERROR(INDEX(measureables!$A:$J,MATCH($A35,measureables!$A:$A,FALSE),10), "")</f>
        <v>6' 6.50''</v>
      </c>
      <c r="AZ35" s="2" t="str">
        <f>IFERROR(INDEX(measureables!$A:$J,MATCH($A35,measureables!$A:$A,FALSE),8), "")</f>
        <v>8' 3.50''</v>
      </c>
      <c r="BA35" t="str">
        <f t="shared" si="19"/>
        <v xml:space="preserve">  &lt;li&gt;&lt;b&gt;&lt;a 
    target='_blank' href='https://www.nba.com/draft/2022/prospects/christian-braun'&gt;Christian Braun&lt;/a&gt;&lt;/b&gt;
    - &lt;i&gt;
    &lt;a target='_blank' href='https://www.nbadraft.net/players/christian-braun'&gt;SG &lt;/a&gt;&lt;/b&gt;
    - 
    &lt;a target='_blank'href='https://www.sports-reference.com/cbb/players/christian-braun-1.html'&gt;Kansas&lt;/a&gt;&lt;/b&gt; &lt;/i&gt;&lt;/li&gt;
  &lt;ul style='list-style-type:none'&gt;
    &lt;li&gt;Grade: Junior &lt;/li&gt;
    &lt;li&gt;Age: 21.2 &lt;/li&gt;
    &lt;li&gt;Height: 79 in &lt;/li&gt;
    &lt;li&gt;Weight: 209.2 lbs &lt;/li&gt;
    &lt;li&gt;Wingspan: 78.5 in &lt;/li&gt;
    &lt;li&gt;Reach: 99.5 in &lt;/li&gt;
    &lt;li&gt;Ape: -0.5 &lt;/li&gt;
    &lt;li&gt;+: athleticism &lt;/li&gt;
    &lt;li&gt;-: wingspan &lt;/li&gt;
  &lt;/ul&gt;
  &lt;br&gt;</v>
      </c>
    </row>
    <row r="36" spans="1:53" ht="22" customHeight="1" x14ac:dyDescent="0.2">
      <c r="A36" t="s">
        <v>148</v>
      </c>
      <c r="B36" t="s">
        <v>14</v>
      </c>
      <c r="C36" s="3" t="s">
        <v>307</v>
      </c>
      <c r="E36" s="9">
        <f t="shared" si="4"/>
        <v>19.039014373716633</v>
      </c>
      <c r="F36" s="7">
        <f t="shared" si="5"/>
        <v>83</v>
      </c>
      <c r="G36" s="7">
        <f t="shared" si="6"/>
        <v>222.6</v>
      </c>
      <c r="H36" s="7">
        <f t="shared" si="7"/>
        <v>84.25</v>
      </c>
      <c r="I36" s="7">
        <f t="shared" si="8"/>
        <v>108.5</v>
      </c>
      <c r="J36" s="7" t="str">
        <f t="shared" si="9"/>
        <v>+1.25</v>
      </c>
      <c r="K36" s="9">
        <f t="shared" si="10"/>
        <v>1.0543478260869565</v>
      </c>
      <c r="M36" s="3" t="s">
        <v>487</v>
      </c>
      <c r="N36" s="3" t="s">
        <v>486</v>
      </c>
      <c r="Q36" s="19">
        <v>45.9</v>
      </c>
      <c r="R36" s="3">
        <f t="shared" si="17"/>
        <v>31</v>
      </c>
      <c r="S36" s="7">
        <f>IFERROR(IF(FLOOR(Q36,1)=FLOOR(Q35,1),S35, MAX(S$5:S35)+1),1)</f>
        <v>5</v>
      </c>
      <c r="T36" s="7">
        <f>IFERROR(INDEX(actual!A:A,MATCH(A36,actual!B:B,FALSE)), "")</f>
        <v>27</v>
      </c>
      <c r="U36" s="7" t="str">
        <f>IFERROR(INDEX(actual!C:C,MATCH(A36,actual!B:B,FALSE)), "")</f>
        <v>MIA</v>
      </c>
      <c r="V36" s="4" t="str">
        <f t="shared" si="22"/>
        <v>https://www.basketball-reference.com/international/players/nikola-jovic-1.html</v>
      </c>
      <c r="W36" s="4" t="str">
        <f t="shared" si="23"/>
        <v>https://www.nbadraft.net/players/nikola-jovic</v>
      </c>
      <c r="X36" s="17" t="str">
        <f t="shared" si="24"/>
        <v>https://www.nba.com/draft/2022/prospects/nikola-jovic</v>
      </c>
      <c r="Y36" s="10">
        <v>37781</v>
      </c>
      <c r="Z36" s="13">
        <f t="shared" si="13"/>
        <v>31</v>
      </c>
      <c r="AA36" s="13">
        <f t="shared" si="14"/>
        <v>29</v>
      </c>
      <c r="AB36" s="13">
        <f t="shared" si="15"/>
        <v>37</v>
      </c>
      <c r="AC36" s="12">
        <f t="shared" si="16"/>
        <v>778</v>
      </c>
      <c r="AD36" s="20">
        <f t="shared" si="18"/>
        <v>392</v>
      </c>
      <c r="AE36" s="20">
        <f t="shared" si="18"/>
        <v>386</v>
      </c>
      <c r="AF36" s="13">
        <v>35</v>
      </c>
      <c r="AG36" s="13">
        <v>9</v>
      </c>
      <c r="AH36" s="13">
        <v>32</v>
      </c>
      <c r="AJ36" s="13">
        <v>42</v>
      </c>
      <c r="AK36" s="13">
        <v>32</v>
      </c>
      <c r="AN36" s="13">
        <v>40</v>
      </c>
      <c r="AO36" s="13">
        <v>4</v>
      </c>
      <c r="AP36" s="13">
        <v>23</v>
      </c>
      <c r="AQ36" s="13">
        <v>4</v>
      </c>
      <c r="AR36" s="13">
        <v>24</v>
      </c>
      <c r="AS36" s="13">
        <v>34</v>
      </c>
      <c r="AT36" s="13">
        <v>5</v>
      </c>
      <c r="AU36" s="13">
        <v>24</v>
      </c>
      <c r="AW36" s="2" t="str">
        <f>IFERROR(INDEX(measureables!$A:$J,MATCH($A36,measureables!$A:$A,FALSE),7), "")</f>
        <v>6' 11.00''</v>
      </c>
      <c r="AX36" s="2">
        <f>IFERROR(INDEX(measureables!$A:$J,MATCH($A36,measureables!$A:$A,FALSE),9), "")</f>
        <v>222.6</v>
      </c>
      <c r="AY36" s="2" t="str">
        <f>IFERROR(INDEX(measureables!$A:$J,MATCH($A36,measureables!$A:$A,FALSE),10), "")</f>
        <v>7' 0.25''</v>
      </c>
      <c r="AZ36" s="2" t="str">
        <f>IFERROR(INDEX(measureables!$A:$J,MATCH($A36,measureables!$A:$A,FALSE),8), "")</f>
        <v>9' 0.50''</v>
      </c>
      <c r="BA36" t="str">
        <f t="shared" si="19"/>
        <v xml:space="preserve">
  &lt;/ol&gt;
  &lt;h2&gt; Tier 5 (~45+ FV)&lt;/h2&gt;
  &lt;ol start='31 '&gt;
    &lt;li&gt;&lt;b&gt;&lt;a 
    target='_blank' href='https://www.nba.com/draft/2022/prospects/nikola-jovic'&gt;Nikola Jovic&lt;/a&gt;&lt;/b&gt;
    - &lt;i&gt;
    &lt;a target='_blank' href='https://www.nbadraft.net/players/nikola-jovic'&gt;SF &lt;/a&gt;&lt;/b&gt;
    - 
    &lt;a target='_blank'href='https://www.basketball-reference.com/international/players/nikola-jovic-1.html'&gt;Mega Mozzart&lt;/a&gt;&lt;/b&gt; &lt;/i&gt;&lt;/li&gt;
  &lt;ul style='list-style-type:none'&gt;
    &lt;li&gt;Age: 19 &lt;/li&gt;
    &lt;li&gt;Height: 83 in &lt;/li&gt;
    &lt;li&gt;Weight: 222.6 lbs &lt;/li&gt;
    &lt;li&gt;Wingspan: 84.25 in &lt;/li&gt;
    &lt;li&gt;Reach: 108.5 in &lt;/li&gt;
    &lt;li&gt;Ape: +1.25 &lt;/li&gt;
    &lt;li&gt;+: age, ball handling, size, shooting/passing potential &lt;/li&gt;
    &lt;li&gt;-: rawness, athleticism &lt;/li&gt;
  &lt;/ul&gt;
  &lt;br&gt;</v>
      </c>
    </row>
    <row r="37" spans="1:53" ht="22" customHeight="1" x14ac:dyDescent="0.2">
      <c r="A37" t="s">
        <v>274</v>
      </c>
      <c r="B37" t="s">
        <v>14</v>
      </c>
      <c r="C37" s="3" t="s">
        <v>319</v>
      </c>
      <c r="E37" s="9">
        <f t="shared" si="4"/>
        <v>19.091033538672143</v>
      </c>
      <c r="F37" s="7">
        <f t="shared" si="5"/>
        <v>82</v>
      </c>
      <c r="G37" s="7">
        <f t="shared" si="6"/>
        <v>200</v>
      </c>
      <c r="H37" s="7" t="str">
        <f t="shared" si="7"/>
        <v/>
      </c>
      <c r="I37" s="7" t="str">
        <f t="shared" si="8"/>
        <v/>
      </c>
      <c r="J37" s="7" t="str">
        <f t="shared" si="9"/>
        <v/>
      </c>
      <c r="K37" s="9" t="str">
        <f t="shared" si="10"/>
        <v/>
      </c>
      <c r="L37" s="3" t="s">
        <v>445</v>
      </c>
      <c r="M37" s="3" t="s">
        <v>473</v>
      </c>
      <c r="O37" s="3" t="s">
        <v>474</v>
      </c>
      <c r="P37" s="3" t="s">
        <v>475</v>
      </c>
      <c r="Q37" s="19">
        <v>45.8</v>
      </c>
      <c r="R37" s="3">
        <f t="shared" si="17"/>
        <v>32</v>
      </c>
      <c r="S37" s="7">
        <f>IFERROR(IF(FLOOR(Q37,1)=FLOOR(Q36,1),S36, MAX(S$5:S36)+1),1)</f>
        <v>5</v>
      </c>
      <c r="T37" s="7">
        <f>IFERROR(INDEX(actual!A:A,MATCH(A37,actual!B:B,FALSE)), "")</f>
        <v>11</v>
      </c>
      <c r="U37" s="7" t="str">
        <f>IFERROR(INDEX(actual!C:C,MATCH(A37,actual!B:B,FALSE)), "")</f>
        <v>OKC</v>
      </c>
      <c r="V37" s="16" t="s">
        <v>288</v>
      </c>
      <c r="W37" s="4" t="str">
        <f t="shared" si="23"/>
        <v>https://www.nbadraft.net/players/ousmane-dieng</v>
      </c>
      <c r="X37" s="17" t="str">
        <f t="shared" si="24"/>
        <v>https://www.nba.com/draft/2022/prospects/ousmane-dieng</v>
      </c>
      <c r="Y37" s="10">
        <v>37762</v>
      </c>
      <c r="Z37" s="13">
        <f t="shared" si="13"/>
        <v>26</v>
      </c>
      <c r="AA37" s="13">
        <f t="shared" si="14"/>
        <v>22</v>
      </c>
      <c r="AB37" s="13">
        <f t="shared" si="15"/>
        <v>38</v>
      </c>
      <c r="AC37" s="12">
        <f t="shared" si="16"/>
        <v>703</v>
      </c>
      <c r="AD37" s="20">
        <f t="shared" si="18"/>
        <v>308</v>
      </c>
      <c r="AE37" s="20">
        <f t="shared" si="18"/>
        <v>395</v>
      </c>
      <c r="AF37" s="13">
        <v>24</v>
      </c>
      <c r="AG37" s="13">
        <v>7</v>
      </c>
      <c r="AH37" s="13">
        <v>34</v>
      </c>
      <c r="AJ37" s="13">
        <v>35</v>
      </c>
      <c r="AK37" s="13">
        <v>54</v>
      </c>
      <c r="AN37" s="13">
        <v>41</v>
      </c>
      <c r="AO37" s="13">
        <v>4</v>
      </c>
      <c r="AP37" s="13">
        <v>25</v>
      </c>
      <c r="AQ37" s="13">
        <v>4</v>
      </c>
      <c r="AR37" s="13">
        <v>9</v>
      </c>
      <c r="AS37" s="13">
        <v>16</v>
      </c>
      <c r="AT37" s="13">
        <v>4</v>
      </c>
      <c r="AU37" s="13">
        <v>12</v>
      </c>
      <c r="AW37" s="2" t="str">
        <f>IFERROR(INDEX(measureables!$A:$J,MATCH($A37,measureables!$A:$A,FALSE),7), "")</f>
        <v>6' 10''</v>
      </c>
      <c r="AX37" s="2">
        <f>IFERROR(INDEX(measureables!$A:$J,MATCH($A37,measureables!$A:$A,FALSE),9), "")</f>
        <v>200</v>
      </c>
      <c r="AY37" s="2">
        <f>IFERROR(INDEX(measureables!$A:$J,MATCH($A37,measureables!$A:$A,FALSE),10), "")</f>
        <v>0</v>
      </c>
      <c r="AZ37" s="2">
        <f>IFERROR(INDEX(measureables!$A:$J,MATCH($A37,measureables!$A:$A,FALSE),8), "")</f>
        <v>0</v>
      </c>
      <c r="BA37" t="str">
        <f t="shared" si="19"/>
        <v xml:space="preserve">  &lt;li&gt;&lt;b&gt;&lt;a 
    target='_blank' href='https://www.nba.com/draft/2022/prospects/ousmane-dieng'&gt;Ousmane Dieng&lt;/a&gt;&lt;/b&gt;
    - &lt;i&gt;
    &lt;a target='_blank' href='https://www.nbadraft.net/players/ousmane-dieng'&gt;SF &lt;/a&gt;&lt;/b&gt;
    - 
    &lt;a target='_blank'href='https://www.basketball-reference.com/international/players/ousmane-dieng-1.html'&gt;New Zeland Breakers&lt;/a&gt;&lt;/b&gt; &lt;/i&gt;&lt;/li&gt;
  &lt;ul style='list-style-type:none'&gt;
    &lt;li&gt;Age: 19.1 &lt;/li&gt;
    &lt;li&gt;Height: 82 in &lt;/li&gt;
    &lt;li&gt;Weight: 200 lbs &lt;/li&gt;
    &lt;li&gt;++: size &lt;/li&gt;
    &lt;li&gt;+: age, ball handling &lt;/li&gt;
    &lt;li&gt;--: production across the board &lt;/li&gt;
    &lt;li&gt;Additional Notes: lots of question marks, terrible production in NBL, but the youth+ideal wing dimensions+ball handling abilities are a great starting point for a prospect. He will be a big project &lt;/li&gt;
  &lt;/ul&gt;
  &lt;br&gt;</v>
      </c>
    </row>
    <row r="38" spans="1:53" ht="22" customHeight="1" x14ac:dyDescent="0.2">
      <c r="A38" t="s">
        <v>201</v>
      </c>
      <c r="B38" t="s">
        <v>15</v>
      </c>
      <c r="C38" s="3" t="s">
        <v>295</v>
      </c>
      <c r="D38" s="3" t="s">
        <v>66</v>
      </c>
      <c r="E38" s="9">
        <f t="shared" ref="E38:E69" si="25">YEARFRAC(Y38, $E$5, 1)</f>
        <v>20.318252933507171</v>
      </c>
      <c r="F38" s="7">
        <f t="shared" ref="F38:F69" si="26">IFERROR(LEFT(AW38,FIND("'",AW38)-1)*12+SUBSTITUTE(MID(AW38,FIND("'",AW38)+1,LEN(AW38)),"''",""), "")</f>
        <v>77.75</v>
      </c>
      <c r="G38" s="7">
        <f t="shared" ref="G38:G69" si="27">AX38</f>
        <v>196.4</v>
      </c>
      <c r="H38" s="7">
        <f t="shared" ref="H38:H69" si="28">IFERROR(LEFT(AY38,FIND("'",AY38)-1)*12+SUBSTITUTE(MID(AY38,FIND("'",AY38)+1,LEN(AY38)),"''",""), "")</f>
        <v>80.5</v>
      </c>
      <c r="I38" s="7">
        <f t="shared" ref="I38:I69" si="29">IFERROR(LEFT(AZ38,FIND("'",AZ38)-1)*12+SUBSTITUTE(MID(AZ38,FIND("'",AZ38)+1,LEN(AZ38)),"''",""), "")</f>
        <v>103.5</v>
      </c>
      <c r="J38" s="7" t="str">
        <f t="shared" ref="J38:J69" si="30">IFERROR(IF(AND(H38-F38&gt;= 0, H38 &gt; 0), "+", ""),"") &amp; IFERROR(IF(AND(H38-F38&gt;= -5, H38 &gt; 0), H38-F38, ""),"")</f>
        <v>+2.75</v>
      </c>
      <c r="K38" s="9">
        <f t="shared" ref="K38:K69" si="31">IF(F38&gt;0, IFERROR((H38-60)/(F38-60),""), "")</f>
        <v>1.1549295774647887</v>
      </c>
      <c r="M38" s="3" t="s">
        <v>452</v>
      </c>
      <c r="N38" s="3" t="s">
        <v>453</v>
      </c>
      <c r="Q38" s="19">
        <v>45.7</v>
      </c>
      <c r="R38" s="3">
        <f t="shared" si="17"/>
        <v>33</v>
      </c>
      <c r="S38" s="7">
        <f>IFERROR(IF(FLOOR(Q38,1)=FLOOR(Q37,1),S37, MAX(S$5:S37)+1),1)</f>
        <v>5</v>
      </c>
      <c r="T38" s="7">
        <f>IFERROR(INDEX(actual!A:A,MATCH(A38,actual!B:B,FALSE)), "")</f>
        <v>10</v>
      </c>
      <c r="U38" s="7" t="str">
        <f>IFERROR(INDEX(actual!C:C,MATCH(A38,actual!B:B,FALSE)), "")</f>
        <v>WAS</v>
      </c>
      <c r="V38" s="16" t="s">
        <v>296</v>
      </c>
      <c r="W38" s="4" t="str">
        <f t="shared" si="23"/>
        <v>https://www.nbadraft.net/players/johnny-davis</v>
      </c>
      <c r="X38" s="17" t="str">
        <f t="shared" si="24"/>
        <v>https://www.nba.com/draft/2022/prospects/johnny-davis</v>
      </c>
      <c r="Y38" s="10">
        <v>37314</v>
      </c>
      <c r="Z38" s="13">
        <f t="shared" ref="Z38:Z69" si="32">RANK(AC38,AC:AC,1)</f>
        <v>16</v>
      </c>
      <c r="AA38" s="13">
        <f t="shared" ref="AA38:AA69" si="33">RANK(AD38,AD:AD,1)</f>
        <v>17</v>
      </c>
      <c r="AB38" s="13">
        <f t="shared" ref="AB38:AB69" si="34">RANK(AE38,AE:AE,1)</f>
        <v>14</v>
      </c>
      <c r="AC38" s="12">
        <f t="shared" ref="AC38:AC69" si="35">AD38+AE38</f>
        <v>490</v>
      </c>
      <c r="AD38" s="20">
        <f t="shared" si="18"/>
        <v>274</v>
      </c>
      <c r="AE38" s="20">
        <f t="shared" si="18"/>
        <v>216</v>
      </c>
      <c r="AF38" s="13">
        <v>29</v>
      </c>
      <c r="AG38" s="13">
        <v>8</v>
      </c>
      <c r="AH38" s="13">
        <v>24</v>
      </c>
      <c r="AI38" s="13">
        <v>20</v>
      </c>
      <c r="AJ38" s="13">
        <v>17</v>
      </c>
      <c r="AK38" s="13">
        <v>10</v>
      </c>
      <c r="AL38" s="13">
        <v>19</v>
      </c>
      <c r="AN38" s="13">
        <v>28</v>
      </c>
      <c r="AO38" s="13">
        <v>3</v>
      </c>
      <c r="AP38" s="13">
        <v>17</v>
      </c>
      <c r="AQ38" s="13">
        <v>4</v>
      </c>
      <c r="AR38" s="13">
        <v>12</v>
      </c>
      <c r="AS38" s="13">
        <v>10</v>
      </c>
      <c r="AT38" s="13">
        <v>4</v>
      </c>
      <c r="AU38" s="13">
        <v>11</v>
      </c>
      <c r="AW38" s="2" t="str">
        <f>IFERROR(INDEX(measureables!$A:$J,MATCH($A38,measureables!$A:$A,FALSE),7), "")</f>
        <v>6' 5.75''</v>
      </c>
      <c r="AX38" s="2">
        <f>IFERROR(INDEX(measureables!$A:$J,MATCH($A38,measureables!$A:$A,FALSE),9), "")</f>
        <v>196.4</v>
      </c>
      <c r="AY38" s="2" t="str">
        <f>IFERROR(INDEX(measureables!$A:$J,MATCH($A38,measureables!$A:$A,FALSE),10), "")</f>
        <v>6' 8.50''</v>
      </c>
      <c r="AZ38" s="2" t="str">
        <f>IFERROR(INDEX(measureables!$A:$J,MATCH($A38,measureables!$A:$A,FALSE),8), "")</f>
        <v>8' 7.50''</v>
      </c>
      <c r="BA38" t="str">
        <f t="shared" si="19"/>
        <v xml:space="preserve">  &lt;li&gt;&lt;b&gt;&lt;a 
    target='_blank' href='https://www.nba.com/draft/2022/prospects/johnny-davis'&gt;Johnny Davis&lt;/a&gt;&lt;/b&gt;
    - &lt;i&gt;
    &lt;a target='_blank' href='https://www.nbadraft.net/players/johnny-davis'&gt;PG &lt;/a&gt;&lt;/b&gt;
    - 
    &lt;a target='_blank'href='https://www.sports-reference.com/cbb/players/jonathan-davis-3.html'&gt;Wisconsin&lt;/a&gt;&lt;/b&gt; &lt;/i&gt;&lt;/li&gt;
  &lt;ul style='list-style-type:none'&gt;
    &lt;li&gt;Grade: Sophomore &lt;/li&gt;
    &lt;li&gt;Age: 20.3 &lt;/li&gt;
    &lt;li&gt;Height: 77.75 in &lt;/li&gt;
    &lt;li&gt;Weight: 196.4 lbs &lt;/li&gt;
    &lt;li&gt;Wingspan: 80.5 in &lt;/li&gt;
    &lt;li&gt;Reach: 103.5 in &lt;/li&gt;
    &lt;li&gt;Ape: +2.75 &lt;/li&gt;
    &lt;li&gt;+: energy, offensive creation &lt;/li&gt;
    &lt;li&gt;-: size, athleticism, shooting &lt;/li&gt;
  &lt;/ul&gt;
  &lt;br&gt;</v>
      </c>
    </row>
    <row r="39" spans="1:53" ht="22" customHeight="1" x14ac:dyDescent="0.2">
      <c r="A39" t="s">
        <v>150</v>
      </c>
      <c r="B39" t="s">
        <v>12</v>
      </c>
      <c r="C39" s="3" t="s">
        <v>67</v>
      </c>
      <c r="D39" s="3" t="s">
        <v>66</v>
      </c>
      <c r="E39" s="9">
        <f t="shared" si="25"/>
        <v>19.984224250325944</v>
      </c>
      <c r="F39" s="7">
        <f t="shared" si="26"/>
        <v>82</v>
      </c>
      <c r="G39" s="7">
        <f t="shared" si="27"/>
        <v>236.6</v>
      </c>
      <c r="H39" s="7">
        <f t="shared" si="28"/>
        <v>85</v>
      </c>
      <c r="I39" s="7">
        <f t="shared" si="29"/>
        <v>108.5</v>
      </c>
      <c r="J39" s="7" t="str">
        <f t="shared" si="30"/>
        <v>+3</v>
      </c>
      <c r="K39" s="9">
        <f t="shared" si="31"/>
        <v>1.1363636363636365</v>
      </c>
      <c r="M39" s="3" t="s">
        <v>484</v>
      </c>
      <c r="N39" s="3" t="s">
        <v>485</v>
      </c>
      <c r="Q39" s="19">
        <v>45.6</v>
      </c>
      <c r="R39" s="3">
        <f t="shared" si="17"/>
        <v>34</v>
      </c>
      <c r="S39" s="7">
        <f>IFERROR(IF(FLOOR(Q39,1)=FLOOR(Q38,1),S38, MAX(S$5:S38)+1),1)</f>
        <v>5</v>
      </c>
      <c r="T39" s="7">
        <f>IFERROR(INDEX(actual!A:A,MATCH(A39,actual!B:B,FALSE)), "")</f>
        <v>34</v>
      </c>
      <c r="U39" s="7" t="str">
        <f>IFERROR(INDEX(actual!C:C,MATCH(A39,actual!B:B,FALSE)), "")</f>
        <v>OKC</v>
      </c>
      <c r="V39" s="16" t="s">
        <v>337</v>
      </c>
      <c r="W39" s="4" t="str">
        <f t="shared" si="23"/>
        <v>https://www.nbadraft.net/players/jaylin-williams</v>
      </c>
      <c r="X39" s="17" t="str">
        <f t="shared" si="24"/>
        <v>https://www.nba.com/draft/2022/prospects/jaylin-williams</v>
      </c>
      <c r="Y39" s="10">
        <v>37436</v>
      </c>
      <c r="Z39" s="13">
        <f t="shared" si="32"/>
        <v>30</v>
      </c>
      <c r="AA39" s="13">
        <f t="shared" si="33"/>
        <v>40</v>
      </c>
      <c r="AB39" s="13">
        <f t="shared" si="34"/>
        <v>21</v>
      </c>
      <c r="AC39" s="12">
        <f t="shared" si="35"/>
        <v>763</v>
      </c>
      <c r="AD39" s="20">
        <f t="shared" ref="AD39:AE70" si="36">IFERROR(
IF($AF$4 = AD$5, ($AF$3 * IF($AF39&gt;0, $AF39, $AF$2)), 0)
+ IF($AG$4 = AD$5, ($AG$3 * IF($AG39&gt;0, $AG39, $AG$2)), 0)
+ IF($AH$4 = AD$5, ($AH$3 * IF($AH39&gt;0, $AH39, $AH$2)), 0)
+ IF($AI$4 = AD$5, ($AI$3 * IF($AI39&gt;0, $AI39, $AI$2)), 0)
+ IF($AJ$4 = AD$5, ($AJ$3 * IF($AJ39&gt;0, $AJ39, $AJ$2)), 0)
+ IF($AK$4 = AD$5, ($AK$3 * IF($AK39&gt;0, $AK39, $AK$2)), 0)
+ IF($AL$4 = AD$5, ($AL$3 * IF($AL39&gt;0, $AL39, $AL$2)), 0)
+ IF($AM$4 = AD$5, ($AM$3 * IF($AM39&gt;0, $AM39, $AM$2)), 0)
+ IF($AN$4 = AD$5, ($AN$3 * IF($AN39&gt;0, $AN39, $AN$2)), 0)
+ IF($AO$4 = AD$5, ($AO$3 * IF($AO39&gt;0, $AO39, $AO$2)), 0)
+ IF($AP$4 = AD$5, ($AP$3 * IF($AP39&gt;0, $AP39, $AP$2)), 0)
+ IF($AQ$4 = AD$5, ($AQ$3 * IF($AQ39&gt;0, $AQ39, $AQ$2)), 0)
+ IF($AR$4 = AD$5, ($AR$3 * IF($AR39&gt;0, $AR39, $AR$2)), 0)
+ IF($AS$4 = AD$5, ($AS$3 * IF($AS39&gt;0, $AS39, $AS$2)), 0)
+ IF($AT$4 = AD$5, ($AT$3 * IF($AT39&gt;0, $AT39, $AT$2)), 0)
+ IF($AU$4 = AD$5, ($AU$3 * IF($AU39&gt;0, $AU39, $AU$2)), 0)
+ IF($AV$4 = AD$5, ($AV$3 * IF($AV39&gt;0, IF($AV39 &gt; $AV$2, $AV$2, $AV39), $AV$2)), 0), -1)</f>
        <v>520</v>
      </c>
      <c r="AE39" s="20">
        <f t="shared" si="36"/>
        <v>243</v>
      </c>
      <c r="AF39" s="13">
        <v>52</v>
      </c>
      <c r="AG39" s="13">
        <v>11</v>
      </c>
      <c r="AH39" s="13">
        <v>3</v>
      </c>
      <c r="AJ39" s="13">
        <v>38</v>
      </c>
      <c r="AK39" s="13">
        <v>28</v>
      </c>
      <c r="AL39" s="13">
        <v>29</v>
      </c>
      <c r="AN39" s="13">
        <v>35</v>
      </c>
      <c r="AO39" s="13">
        <v>4</v>
      </c>
      <c r="AP39" s="13">
        <v>44</v>
      </c>
      <c r="AQ39" s="13">
        <v>5</v>
      </c>
      <c r="AS39" s="13">
        <v>47</v>
      </c>
      <c r="AT39" s="13">
        <v>5</v>
      </c>
      <c r="AU39" s="13">
        <v>36</v>
      </c>
      <c r="AW39" s="2" t="str">
        <f>IFERROR(INDEX(measureables!$A:$J,MATCH($A39,measureables!$A:$A,FALSE),7), "")</f>
        <v>6' 10.00''</v>
      </c>
      <c r="AX39" s="2">
        <f>IFERROR(INDEX(measureables!$A:$J,MATCH($A39,measureables!$A:$A,FALSE),9), "")</f>
        <v>236.6</v>
      </c>
      <c r="AY39" s="2" t="str">
        <f>IFERROR(INDEX(measureables!$A:$J,MATCH($A39,measureables!$A:$A,FALSE),10), "")</f>
        <v>7' 1.00''</v>
      </c>
      <c r="AZ39" s="2" t="str">
        <f>IFERROR(INDEX(measureables!$A:$J,MATCH($A39,measureables!$A:$A,FALSE),8), "")</f>
        <v>9' 0.50''</v>
      </c>
      <c r="BA39" t="str">
        <f t="shared" si="19"/>
        <v xml:space="preserve">  &lt;li&gt;&lt;b&gt;&lt;a 
    target='_blank' href='https://www.nba.com/draft/2022/prospects/jaylin-williams'&gt;Jaylin Williams&lt;/a&gt;&lt;/b&gt;
    - &lt;i&gt;
    &lt;a target='_blank' href='https://www.nbadraft.net/players/jaylin-williams'&gt;C &lt;/a&gt;&lt;/b&gt;
    - 
    &lt;a target='_blank'href='https://www.sports-reference.com/cbb/players/jaylin-williams-2.html'&gt;Arkansas&lt;/a&gt;&lt;/b&gt; &lt;/i&gt;&lt;/li&gt;
  &lt;ul style='list-style-type:none'&gt;
    &lt;li&gt;Grade: Sophomore &lt;/li&gt;
    &lt;li&gt;Age: 20 &lt;/li&gt;
    &lt;li&gt;Height: 82 in &lt;/li&gt;
    &lt;li&gt;Weight: 236.6 lbs &lt;/li&gt;
    &lt;li&gt;Wingspan: 85 in &lt;/li&gt;
    &lt;li&gt;Reach: 108.5 in &lt;/li&gt;
    &lt;li&gt;Ape: +3 &lt;/li&gt;
    &lt;li&gt;+: age, passing, basketball IQ &lt;/li&gt;
    &lt;li&gt;-: size, athleticism &lt;/li&gt;
  &lt;/ul&gt;
  &lt;br&gt;</v>
      </c>
    </row>
    <row r="40" spans="1:53" ht="22" customHeight="1" x14ac:dyDescent="0.2">
      <c r="A40" t="s">
        <v>168</v>
      </c>
      <c r="B40" t="s">
        <v>16</v>
      </c>
      <c r="C40" s="3" t="s">
        <v>64</v>
      </c>
      <c r="E40" s="9">
        <f t="shared" si="25"/>
        <v>21.694084037614569</v>
      </c>
      <c r="F40" s="7">
        <f t="shared" si="26"/>
        <v>78.5</v>
      </c>
      <c r="G40" s="7">
        <f t="shared" si="27"/>
        <v>196.6</v>
      </c>
      <c r="H40" s="7">
        <f t="shared" si="28"/>
        <v>84.75</v>
      </c>
      <c r="I40" s="7">
        <f t="shared" si="29"/>
        <v>106</v>
      </c>
      <c r="J40" s="7" t="str">
        <f t="shared" si="30"/>
        <v>+6.25</v>
      </c>
      <c r="K40" s="9">
        <f t="shared" si="31"/>
        <v>1.3378378378378379</v>
      </c>
      <c r="M40" s="3" t="s">
        <v>492</v>
      </c>
      <c r="N40" s="3" t="s">
        <v>481</v>
      </c>
      <c r="Q40" s="19">
        <v>45.55</v>
      </c>
      <c r="R40" s="3">
        <f t="shared" si="17"/>
        <v>35</v>
      </c>
      <c r="S40" s="7">
        <f>IFERROR(IF(FLOOR(Q40,1)=FLOOR(Q39,1),S39, MAX(S$5:S39)+1),1)</f>
        <v>5</v>
      </c>
      <c r="T40" s="7">
        <f>IFERROR(INDEX(actual!A:A,MATCH(A40,actual!B:B,FALSE)), "")</f>
        <v>24</v>
      </c>
      <c r="U40" s="7" t="str">
        <f>IFERROR(INDEX(actual!C:C,MATCH(A40,actual!B:B,FALSE)), "")</f>
        <v>MIL</v>
      </c>
      <c r="V40" s="16" t="s">
        <v>310</v>
      </c>
      <c r="W40" s="4" t="str">
        <f t="shared" si="23"/>
        <v>https://www.nbadraft.net/players/marjon-beauchamp</v>
      </c>
      <c r="X40" s="17" t="str">
        <f t="shared" si="24"/>
        <v>https://www.nba.com/draft/2022/prospects/marjon-beauchamp</v>
      </c>
      <c r="Y40" s="10">
        <v>36811</v>
      </c>
      <c r="Z40" s="13">
        <f t="shared" si="32"/>
        <v>36</v>
      </c>
      <c r="AA40" s="13">
        <f t="shared" si="33"/>
        <v>34</v>
      </c>
      <c r="AB40" s="13">
        <f t="shared" si="34"/>
        <v>44</v>
      </c>
      <c r="AC40" s="12">
        <f t="shared" si="35"/>
        <v>851</v>
      </c>
      <c r="AD40" s="20">
        <f t="shared" si="36"/>
        <v>426</v>
      </c>
      <c r="AE40" s="20">
        <f t="shared" si="36"/>
        <v>425</v>
      </c>
      <c r="AF40" s="13">
        <v>41</v>
      </c>
      <c r="AG40" s="13">
        <v>9</v>
      </c>
      <c r="AJ40" s="13">
        <v>33</v>
      </c>
      <c r="AK40" s="13">
        <v>27</v>
      </c>
      <c r="AL40" s="13">
        <v>39</v>
      </c>
      <c r="AN40" s="13">
        <v>33</v>
      </c>
      <c r="AO40" s="13">
        <v>4</v>
      </c>
      <c r="AP40" s="13">
        <v>38</v>
      </c>
      <c r="AQ40" s="13">
        <v>5</v>
      </c>
      <c r="AR40" s="13">
        <v>29</v>
      </c>
      <c r="AS40" s="13">
        <v>28</v>
      </c>
      <c r="AT40" s="13">
        <v>5</v>
      </c>
      <c r="AU40" s="13">
        <v>23</v>
      </c>
      <c r="AV40" s="13">
        <v>46</v>
      </c>
      <c r="AW40" s="2" t="str">
        <f>IFERROR(INDEX(measureables!$A:$J,MATCH($A40,measureables!$A:$A,FALSE),7), "")</f>
        <v>6' 6.50''</v>
      </c>
      <c r="AX40" s="2">
        <f>IFERROR(INDEX(measureables!$A:$J,MATCH($A40,measureables!$A:$A,FALSE),9), "")</f>
        <v>196.6</v>
      </c>
      <c r="AY40" s="2" t="str">
        <f>IFERROR(INDEX(measureables!$A:$J,MATCH($A40,measureables!$A:$A,FALSE),10), "")</f>
        <v>7' 0.75''</v>
      </c>
      <c r="AZ40" s="2" t="str">
        <f>IFERROR(INDEX(measureables!$A:$J,MATCH($A40,measureables!$A:$A,FALSE),8), "")</f>
        <v>8' 10.00''</v>
      </c>
      <c r="BA40" t="str">
        <f t="shared" si="19"/>
        <v xml:space="preserve">  &lt;li&gt;&lt;b&gt;&lt;a 
    target='_blank' href='https://www.nba.com/draft/2022/prospects/marjon-beauchamp'&gt;MarJon Beauchamp&lt;/a&gt;&lt;/b&gt;
    - &lt;i&gt;
    &lt;a target='_blank' href='https://www.nbadraft.net/players/marjon-beauchamp'&gt;SG &lt;/a&gt;&lt;/b&gt;
    - 
    &lt;a target='_blank'href='https://www.basketball-reference.com/gleague/players/b/beaucma01d.html'&gt;G League Ignite&lt;/a&gt;&lt;/b&gt; &lt;/i&gt;&lt;/li&gt;
  &lt;ul style='list-style-type:none'&gt;
    &lt;li&gt;Age: 21.7 &lt;/li&gt;
    &lt;li&gt;Height: 78.5 in &lt;/li&gt;
    &lt;li&gt;Weight: 196.6 lbs &lt;/li&gt;
    &lt;li&gt;Wingspan: 84.75 in &lt;/li&gt;
    &lt;li&gt;Reach: 106 in &lt;/li&gt;
    &lt;li&gt;Ape: +6.25 &lt;/li&gt;
    &lt;li&gt;+: wingspan, defensive versatility &lt;/li&gt;
    &lt;li&gt;-: shooting, strength &lt;/li&gt;
  &lt;/ul&gt;
  &lt;br&gt;</v>
      </c>
    </row>
    <row r="41" spans="1:53" ht="22" customHeight="1" x14ac:dyDescent="0.2">
      <c r="A41" t="s">
        <v>270</v>
      </c>
      <c r="B41" t="s">
        <v>16</v>
      </c>
      <c r="C41" s="3" t="s">
        <v>64</v>
      </c>
      <c r="E41" s="9">
        <f t="shared" si="25"/>
        <v>19.96779661016949</v>
      </c>
      <c r="F41" s="7">
        <f t="shared" si="26"/>
        <v>76</v>
      </c>
      <c r="G41" s="7">
        <f t="shared" si="27"/>
        <v>190</v>
      </c>
      <c r="H41" s="7">
        <f t="shared" si="28"/>
        <v>80</v>
      </c>
      <c r="I41" s="7" t="str">
        <f t="shared" si="29"/>
        <v/>
      </c>
      <c r="J41" s="7" t="str">
        <f t="shared" si="30"/>
        <v>+4</v>
      </c>
      <c r="K41" s="9">
        <f t="shared" si="31"/>
        <v>1.25</v>
      </c>
      <c r="M41" s="3" t="s">
        <v>395</v>
      </c>
      <c r="N41" s="3" t="s">
        <v>488</v>
      </c>
      <c r="Q41" s="19">
        <v>45.5</v>
      </c>
      <c r="R41" s="3">
        <f t="shared" si="17"/>
        <v>36</v>
      </c>
      <c r="S41" s="7">
        <f>IFERROR(IF(FLOOR(Q41,1)=FLOOR(Q40,1),S40, MAX(S$5:S40)+1),1)</f>
        <v>5</v>
      </c>
      <c r="T41" s="7">
        <f>IFERROR(INDEX(actual!A:A,MATCH(A41,actual!B:B,FALSE)), "")</f>
        <v>37</v>
      </c>
      <c r="U41" s="7" t="str">
        <f>IFERROR(INDEX(actual!C:C,MATCH(A41,actual!B:B,FALSE)), "")</f>
        <v>DAL</v>
      </c>
      <c r="V41" s="16" t="s">
        <v>304</v>
      </c>
      <c r="W41" s="4" t="str">
        <f t="shared" si="23"/>
        <v>https://www.nbadraft.net/players/jaden-hardy</v>
      </c>
      <c r="X41" s="17" t="str">
        <f t="shared" si="24"/>
        <v>https://www.nba.com/draft/2022/prospects/jaden-hardy</v>
      </c>
      <c r="Y41" s="10">
        <v>37442</v>
      </c>
      <c r="Z41" s="13">
        <f t="shared" si="32"/>
        <v>33</v>
      </c>
      <c r="AA41" s="13">
        <f t="shared" si="33"/>
        <v>31</v>
      </c>
      <c r="AB41" s="13">
        <f t="shared" si="34"/>
        <v>39</v>
      </c>
      <c r="AC41" s="12">
        <f t="shared" si="35"/>
        <v>798</v>
      </c>
      <c r="AD41" s="20">
        <f t="shared" si="36"/>
        <v>402</v>
      </c>
      <c r="AE41" s="20">
        <f t="shared" si="36"/>
        <v>396</v>
      </c>
      <c r="AF41" s="13">
        <v>49</v>
      </c>
      <c r="AG41" s="13">
        <v>10</v>
      </c>
      <c r="AH41" s="13">
        <v>39</v>
      </c>
      <c r="AJ41" s="13">
        <v>32</v>
      </c>
      <c r="AK41" s="13">
        <v>58</v>
      </c>
      <c r="AL41" s="13">
        <v>26</v>
      </c>
      <c r="AN41" s="13">
        <v>42</v>
      </c>
      <c r="AO41" s="13">
        <v>4</v>
      </c>
      <c r="AP41" s="13">
        <v>33</v>
      </c>
      <c r="AQ41" s="13">
        <v>5</v>
      </c>
      <c r="AR41" s="13">
        <v>20</v>
      </c>
      <c r="AS41" s="13">
        <v>20</v>
      </c>
      <c r="AT41" s="13">
        <v>4</v>
      </c>
      <c r="AU41" s="13">
        <v>22</v>
      </c>
      <c r="AV41" s="13">
        <v>3</v>
      </c>
      <c r="AW41" s="2" t="str">
        <f>IFERROR(INDEX(measureables!$A:$J,MATCH($A41,measureables!$A:$A,FALSE),7), "")</f>
        <v>6' 4''</v>
      </c>
      <c r="AX41" s="2">
        <f>IFERROR(INDEX(measureables!$A:$J,MATCH($A41,measureables!$A:$A,FALSE),9), "")</f>
        <v>190</v>
      </c>
      <c r="AY41" s="2" t="str">
        <f>IFERROR(INDEX(measureables!$A:$J,MATCH($A41,measureables!$A:$A,FALSE),10), "")</f>
        <v>6' 8''</v>
      </c>
      <c r="AZ41" s="2">
        <f>IFERROR(INDEX(measureables!$A:$J,MATCH($A41,measureables!$A:$A,FALSE),8), "")</f>
        <v>0</v>
      </c>
      <c r="BA41" t="str">
        <f t="shared" si="19"/>
        <v xml:space="preserve">  &lt;li&gt;&lt;b&gt;&lt;a 
    target='_blank' href='https://www.nba.com/draft/2022/prospects/jaden-hardy'&gt;Jaden Hardy&lt;/a&gt;&lt;/b&gt;
    - &lt;i&gt;
    &lt;a target='_blank' href='https://www.nbadraft.net/players/jaden-hardy'&gt;SG &lt;/a&gt;&lt;/b&gt;
    - 
    &lt;a target='_blank'href='https://www.basketball-reference.com/gleague/players/h/hardyja01d.html'&gt;G League Ignite&lt;/a&gt;&lt;/b&gt; &lt;/i&gt;&lt;/li&gt;
  &lt;ul style='list-style-type:none'&gt;
    &lt;li&gt;Age: 20 &lt;/li&gt;
    &lt;li&gt;Height: 76 in &lt;/li&gt;
    &lt;li&gt;Weight: 190 lbs &lt;/li&gt;
    &lt;li&gt;Wingspan: 80 in &lt;/li&gt;
    &lt;li&gt;Ape: +4 &lt;/li&gt;
    &lt;li&gt;+: shooting, off-ball abilities (both sides) &lt;/li&gt;
    &lt;li&gt;-: athleticism, shot selection, defense &lt;/li&gt;
  &lt;/ul&gt;
  &lt;br&gt;</v>
      </c>
    </row>
    <row r="42" spans="1:53" ht="22" customHeight="1" x14ac:dyDescent="0.2">
      <c r="A42" t="s">
        <v>234</v>
      </c>
      <c r="B42" t="s">
        <v>15</v>
      </c>
      <c r="C42" s="3" t="s">
        <v>77</v>
      </c>
      <c r="D42" s="3" t="s">
        <v>19</v>
      </c>
      <c r="E42" s="9">
        <f t="shared" si="25"/>
        <v>19.721382007822687</v>
      </c>
      <c r="F42" s="7">
        <f t="shared" si="26"/>
        <v>74.5</v>
      </c>
      <c r="G42" s="7">
        <f t="shared" si="27"/>
        <v>191.8</v>
      </c>
      <c r="H42" s="7">
        <f t="shared" si="28"/>
        <v>78.5</v>
      </c>
      <c r="I42" s="7">
        <f t="shared" si="29"/>
        <v>99.5</v>
      </c>
      <c r="J42" s="7" t="str">
        <f t="shared" si="30"/>
        <v>+4</v>
      </c>
      <c r="K42" s="9">
        <f t="shared" si="31"/>
        <v>1.2758620689655173</v>
      </c>
      <c r="M42" s="3" t="s">
        <v>493</v>
      </c>
      <c r="N42" s="3" t="s">
        <v>494</v>
      </c>
      <c r="Q42" s="19">
        <v>45.4</v>
      </c>
      <c r="R42" s="3">
        <f t="shared" si="17"/>
        <v>37</v>
      </c>
      <c r="S42" s="7">
        <f>IFERROR(IF(FLOOR(Q42,1)=FLOOR(Q41,1),S41, MAX(S$5:S41)+1),1)</f>
        <v>5</v>
      </c>
      <c r="T42" s="7">
        <f>IFERROR(INDEX(actual!A:A,MATCH(A42,actual!B:B,FALSE)), "")</f>
        <v>53</v>
      </c>
      <c r="U42" s="7" t="str">
        <f>IFERROR(INDEX(actual!C:C,MATCH(A42,actual!B:B,FALSE)), "")</f>
        <v>BOS</v>
      </c>
      <c r="V42" s="4" t="str">
        <f>HYPERLINK(IF(D42="", "https://www.basketball-reference.com/international", "https://www.sports-reference.com/cbb") &amp; "/players/" &amp; LOWER(SUBSTITUTE(A42, " ", "-") &amp; "-1.html"))</f>
        <v>https://www.sports-reference.com/cbb/players/jd-davison-1.html</v>
      </c>
      <c r="W42" s="4" t="str">
        <f t="shared" si="23"/>
        <v>https://www.nbadraft.net/players/jd-davison</v>
      </c>
      <c r="X42" s="17" t="str">
        <f t="shared" si="24"/>
        <v>https://www.nba.com/draft/2022/prospects/jd-davison</v>
      </c>
      <c r="Y42" s="10">
        <v>37532</v>
      </c>
      <c r="Z42" s="13">
        <f t="shared" si="32"/>
        <v>37</v>
      </c>
      <c r="AA42" s="13">
        <f t="shared" si="33"/>
        <v>44</v>
      </c>
      <c r="AB42" s="13">
        <f t="shared" si="34"/>
        <v>30</v>
      </c>
      <c r="AC42" s="12">
        <f t="shared" si="35"/>
        <v>880</v>
      </c>
      <c r="AD42" s="20">
        <f t="shared" si="36"/>
        <v>538</v>
      </c>
      <c r="AE42" s="20">
        <f t="shared" si="36"/>
        <v>342</v>
      </c>
      <c r="AF42" s="13">
        <v>42</v>
      </c>
      <c r="AG42" s="13">
        <v>10</v>
      </c>
      <c r="AH42" s="13">
        <v>23</v>
      </c>
      <c r="AJ42" s="13">
        <v>43</v>
      </c>
      <c r="AK42" s="13">
        <v>21</v>
      </c>
      <c r="AN42" s="13">
        <v>60</v>
      </c>
      <c r="AO42" s="13">
        <v>5</v>
      </c>
      <c r="AP42" s="13">
        <v>34</v>
      </c>
      <c r="AQ42" s="13">
        <v>5</v>
      </c>
      <c r="AS42" s="13">
        <v>54</v>
      </c>
      <c r="AT42" s="13">
        <v>6</v>
      </c>
      <c r="AU42" s="13">
        <v>50</v>
      </c>
      <c r="AV42" s="13">
        <v>9</v>
      </c>
      <c r="AW42" s="2" t="str">
        <f>IFERROR(INDEX(measureables!$A:$J,MATCH($A42,measureables!$A:$A,FALSE),7), "")</f>
        <v>6' 2.50''</v>
      </c>
      <c r="AX42" s="2">
        <f>IFERROR(INDEX(measureables!$A:$J,MATCH($A42,measureables!$A:$A,FALSE),9), "")</f>
        <v>191.8</v>
      </c>
      <c r="AY42" s="2" t="str">
        <f>IFERROR(INDEX(measureables!$A:$J,MATCH($A42,measureables!$A:$A,FALSE),10), "")</f>
        <v>6' 6.50''</v>
      </c>
      <c r="AZ42" s="2" t="str">
        <f>IFERROR(INDEX(measureables!$A:$J,MATCH($A42,measureables!$A:$A,FALSE),8), "")</f>
        <v>8' 3.50''</v>
      </c>
      <c r="BA42" t="str">
        <f t="shared" si="19"/>
        <v xml:space="preserve">  &lt;li&gt;&lt;b&gt;&lt;a 
    target='_blank' href='https://www.nba.com/draft/2022/prospects/jd-davison'&gt;JD Davison&lt;/a&gt;&lt;/b&gt;
    - &lt;i&gt;
    &lt;a target='_blank' href='https://www.nbadraft.net/players/jd-davison'&gt;PG &lt;/a&gt;&lt;/b&gt;
    - 
    &lt;a target='_blank'href='https://www.sports-reference.com/cbb/players/jd-davison-1.html'&gt;Alabama&lt;/a&gt;&lt;/b&gt; &lt;/i&gt;&lt;/li&gt;
  &lt;ul style='list-style-type:none'&gt;
    &lt;li&gt;Grade: Freshman &lt;/li&gt;
    &lt;li&gt;Age: 19.7 &lt;/li&gt;
    &lt;li&gt;Height: 74.5 in &lt;/li&gt;
    &lt;li&gt;Weight: 191.8 lbs &lt;/li&gt;
    &lt;li&gt;Wingspan: 78.5 in &lt;/li&gt;
    &lt;li&gt;Reach: 99.5 in &lt;/li&gt;
    &lt;li&gt;Ape: +4 &lt;/li&gt;
    &lt;li&gt;+: athleticism, playmaking &lt;/li&gt;
    &lt;li&gt;-: shooting, carelessness &lt;/li&gt;
  &lt;/ul&gt;
  &lt;br&gt;</v>
      </c>
    </row>
    <row r="43" spans="1:53" ht="22" customHeight="1" x14ac:dyDescent="0.2">
      <c r="A43" t="s">
        <v>181</v>
      </c>
      <c r="B43" t="s">
        <v>13</v>
      </c>
      <c r="C43" s="3" t="s">
        <v>322</v>
      </c>
      <c r="D43" s="3" t="s">
        <v>66</v>
      </c>
      <c r="E43" s="9">
        <f t="shared" si="25"/>
        <v>20.197783572359842</v>
      </c>
      <c r="F43" s="7">
        <f t="shared" si="26"/>
        <v>79.5</v>
      </c>
      <c r="G43" s="7">
        <f t="shared" si="27"/>
        <v>235.4</v>
      </c>
      <c r="H43" s="7">
        <f t="shared" si="28"/>
        <v>86.5</v>
      </c>
      <c r="I43" s="7">
        <f t="shared" si="29"/>
        <v>105.5</v>
      </c>
      <c r="J43" s="7" t="str">
        <f t="shared" si="30"/>
        <v>+7</v>
      </c>
      <c r="K43" s="9">
        <f t="shared" si="31"/>
        <v>1.358974358974359</v>
      </c>
      <c r="M43" s="3" t="s">
        <v>495</v>
      </c>
      <c r="N43" s="3" t="s">
        <v>496</v>
      </c>
      <c r="Q43" s="19">
        <v>45.3</v>
      </c>
      <c r="R43" s="3">
        <f t="shared" si="17"/>
        <v>38</v>
      </c>
      <c r="S43" s="7">
        <f>IFERROR(IF(FLOOR(Q43,1)=FLOOR(Q42,1),S42, MAX(S$5:S42)+1),1)</f>
        <v>5</v>
      </c>
      <c r="T43" s="7" t="str">
        <f>IFERROR(INDEX(actual!A:A,MATCH(A43,actual!B:B,FALSE)), "")</f>
        <v/>
      </c>
      <c r="U43" s="7" t="str">
        <f>IFERROR(INDEX(actual!C:C,MATCH(A43,actual!B:B,FALSE)), "")</f>
        <v/>
      </c>
      <c r="V43" s="4" t="str">
        <f>HYPERLINK(IF(D43="", "https://www.basketball-reference.com/international", "https://www.sports-reference.com/cbb") &amp; "/players/" &amp; LOWER(SUBSTITUTE(A43, " ", "-") &amp; "-1.html"))</f>
        <v>https://www.sports-reference.com/cbb/players/justin-lewis-1.html</v>
      </c>
      <c r="W43" s="4" t="str">
        <f t="shared" si="23"/>
        <v>https://www.nbadraft.net/players/justin-lewis</v>
      </c>
      <c r="X43" s="17" t="str">
        <f t="shared" si="24"/>
        <v>https://www.nba.com/draft/2022/prospects/justin-lewis</v>
      </c>
      <c r="Y43" s="10">
        <v>37358</v>
      </c>
      <c r="Z43" s="13">
        <f t="shared" si="32"/>
        <v>38</v>
      </c>
      <c r="AA43" s="13">
        <f t="shared" si="33"/>
        <v>41</v>
      </c>
      <c r="AB43" s="13">
        <f t="shared" si="34"/>
        <v>34</v>
      </c>
      <c r="AC43" s="12">
        <f t="shared" si="35"/>
        <v>886</v>
      </c>
      <c r="AD43" s="20">
        <f t="shared" si="36"/>
        <v>523</v>
      </c>
      <c r="AE43" s="20">
        <f t="shared" si="36"/>
        <v>363</v>
      </c>
      <c r="AF43" s="13">
        <v>27</v>
      </c>
      <c r="AG43" s="13">
        <v>7</v>
      </c>
      <c r="AH43" s="13">
        <v>35</v>
      </c>
      <c r="AJ43" s="13">
        <v>29</v>
      </c>
      <c r="AK43" s="13">
        <v>39</v>
      </c>
      <c r="AL43" s="13">
        <v>37</v>
      </c>
      <c r="AN43" s="13">
        <v>57</v>
      </c>
      <c r="AO43" s="13">
        <v>5</v>
      </c>
      <c r="AP43" s="13">
        <v>50</v>
      </c>
      <c r="AQ43" s="13">
        <v>5</v>
      </c>
      <c r="AS43" s="13">
        <v>44</v>
      </c>
      <c r="AT43" s="13">
        <v>5</v>
      </c>
      <c r="AU43" s="13">
        <v>44</v>
      </c>
      <c r="AV43" s="13">
        <v>87</v>
      </c>
      <c r="AW43" s="2" t="str">
        <f>IFERROR(INDEX(measureables!$A:$J,MATCH($A43,measureables!$A:$A,FALSE),7), "")</f>
        <v>6' 7.50''</v>
      </c>
      <c r="AX43" s="2">
        <f>IFERROR(INDEX(measureables!$A:$J,MATCH($A43,measureables!$A:$A,FALSE),9), "")</f>
        <v>235.4</v>
      </c>
      <c r="AY43" s="2" t="str">
        <f>IFERROR(INDEX(measureables!$A:$J,MATCH($A43,measureables!$A:$A,FALSE),10), "")</f>
        <v>7' 2.50''</v>
      </c>
      <c r="AZ43" s="2" t="str">
        <f>IFERROR(INDEX(measureables!$A:$J,MATCH($A43,measureables!$A:$A,FALSE),8), "")</f>
        <v>8' 9.50''</v>
      </c>
      <c r="BA43" t="str">
        <f t="shared" si="19"/>
        <v xml:space="preserve">  &lt;li&gt;&lt;b&gt;&lt;a 
    target='_blank' href='https://www.nba.com/draft/2022/prospects/justin-lewis'&gt;Justin Lewis&lt;/a&gt;&lt;/b&gt;
    - &lt;i&gt;
    &lt;a target='_blank' href='https://www.nbadraft.net/players/justin-lewis'&gt;PF &lt;/a&gt;&lt;/b&gt;
    - 
    &lt;a target='_blank'href='https://www.sports-reference.com/cbb/players/justin-lewis-1.html'&gt;Marquette&lt;/a&gt;&lt;/b&gt; &lt;/i&gt;&lt;/li&gt;
  &lt;ul style='list-style-type:none'&gt;
    &lt;li&gt;Grade: Sophomore &lt;/li&gt;
    &lt;li&gt;Age: 20.2 &lt;/li&gt;
    &lt;li&gt;Height: 79.5 in &lt;/li&gt;
    &lt;li&gt;Weight: 235.4 lbs &lt;/li&gt;
    &lt;li&gt;Wingspan: 86.5 in &lt;/li&gt;
    &lt;li&gt;Reach: 105.5 in &lt;/li&gt;
    &lt;li&gt;Ape: +7 &lt;/li&gt;
    &lt;li&gt;+: age, size, wingspan, athleticism &lt;/li&gt;
    &lt;li&gt;-: offensive passivity, defensive discipline &lt;/li&gt;
  &lt;/ul&gt;
  &lt;br&gt;</v>
      </c>
    </row>
    <row r="44" spans="1:53" ht="22" customHeight="1" x14ac:dyDescent="0.2">
      <c r="A44" t="s">
        <v>52</v>
      </c>
      <c r="B44" t="s">
        <v>16</v>
      </c>
      <c r="C44" s="3" t="s">
        <v>298</v>
      </c>
      <c r="D44" s="3" t="s">
        <v>73</v>
      </c>
      <c r="E44" s="9">
        <f t="shared" si="25"/>
        <v>22.173193667420545</v>
      </c>
      <c r="F44" s="7">
        <f t="shared" si="26"/>
        <v>77.75</v>
      </c>
      <c r="G44" s="7">
        <f t="shared" si="27"/>
        <v>216.8</v>
      </c>
      <c r="H44" s="7">
        <f t="shared" si="28"/>
        <v>82.25</v>
      </c>
      <c r="I44" s="7">
        <f t="shared" si="29"/>
        <v>104</v>
      </c>
      <c r="J44" s="7" t="str">
        <f t="shared" si="30"/>
        <v>+4.5</v>
      </c>
      <c r="K44" s="9">
        <f t="shared" si="31"/>
        <v>1.2535211267605635</v>
      </c>
      <c r="M44" s="3" t="s">
        <v>396</v>
      </c>
      <c r="N44" s="3" t="s">
        <v>497</v>
      </c>
      <c r="Q44" s="19">
        <v>45.2</v>
      </c>
      <c r="R44" s="3">
        <f t="shared" si="17"/>
        <v>39</v>
      </c>
      <c r="S44" s="7">
        <f>IFERROR(IF(FLOOR(Q44,1)=FLOOR(Q43,1),S43, MAX(S$5:S43)+1),1)</f>
        <v>5</v>
      </c>
      <c r="T44" s="7">
        <f>IFERROR(INDEX(actual!A:A,MATCH(A44,actual!B:B,FALSE)), "")</f>
        <v>14</v>
      </c>
      <c r="U44" s="7" t="str">
        <f>IFERROR(INDEX(actual!C:C,MATCH(A44,actual!B:B,FALSE)), "")</f>
        <v>CLE</v>
      </c>
      <c r="V44" s="4" t="str">
        <f>HYPERLINK(IF(D44="", "https://www.basketball-reference.com/international", "https://www.sports-reference.com/cbb") &amp; "/players/" &amp; LOWER(SUBSTITUTE(A44, " ", "-") &amp; "-1.html"))</f>
        <v>https://www.sports-reference.com/cbb/players/ochai-agbaji-1.html</v>
      </c>
      <c r="W44" s="4" t="str">
        <f t="shared" si="23"/>
        <v>https://www.nbadraft.net/players/ochai-agbaji</v>
      </c>
      <c r="X44" s="17" t="str">
        <f t="shared" si="24"/>
        <v>https://www.nba.com/draft/2022/prospects/ochai-agbaji</v>
      </c>
      <c r="Y44" s="10">
        <v>36636</v>
      </c>
      <c r="Z44" s="13">
        <f t="shared" si="32"/>
        <v>39</v>
      </c>
      <c r="AA44" s="13">
        <f t="shared" si="33"/>
        <v>25</v>
      </c>
      <c r="AB44" s="13">
        <f t="shared" si="34"/>
        <v>68</v>
      </c>
      <c r="AC44" s="12">
        <f t="shared" si="35"/>
        <v>892</v>
      </c>
      <c r="AD44" s="20">
        <f t="shared" si="36"/>
        <v>324</v>
      </c>
      <c r="AE44" s="20">
        <f t="shared" si="36"/>
        <v>568</v>
      </c>
      <c r="AF44" s="13">
        <v>34</v>
      </c>
      <c r="AG44" s="13">
        <v>8</v>
      </c>
      <c r="AJ44" s="13">
        <v>73</v>
      </c>
      <c r="AK44" s="13">
        <v>49</v>
      </c>
      <c r="AN44" s="13">
        <v>29</v>
      </c>
      <c r="AO44" s="13">
        <v>3</v>
      </c>
      <c r="AP44" s="13">
        <v>24</v>
      </c>
      <c r="AQ44" s="13">
        <v>4</v>
      </c>
      <c r="AR44" s="13">
        <v>17</v>
      </c>
      <c r="AS44" s="13">
        <v>19</v>
      </c>
      <c r="AT44" s="13">
        <v>4</v>
      </c>
      <c r="AU44" s="13">
        <v>16</v>
      </c>
      <c r="AW44" s="2" t="str">
        <f>IFERROR(INDEX(measureables!$A:$J,MATCH($A44,measureables!$A:$A,FALSE),7), "")</f>
        <v>6' 5.75''</v>
      </c>
      <c r="AX44" s="2">
        <f>IFERROR(INDEX(measureables!$A:$J,MATCH($A44,measureables!$A:$A,FALSE),9), "")</f>
        <v>216.8</v>
      </c>
      <c r="AY44" s="2" t="str">
        <f>IFERROR(INDEX(measureables!$A:$J,MATCH($A44,measureables!$A:$A,FALSE),10), "")</f>
        <v>6' 10.25''</v>
      </c>
      <c r="AZ44" s="2" t="str">
        <f>IFERROR(INDEX(measureables!$A:$J,MATCH($A44,measureables!$A:$A,FALSE),8), "")</f>
        <v>8' 8.00''</v>
      </c>
      <c r="BA44" t="str">
        <f t="shared" si="19"/>
        <v xml:space="preserve">  &lt;li&gt;&lt;b&gt;&lt;a 
    target='_blank' href='https://www.nba.com/draft/2022/prospects/ochai-agbaji'&gt;Ochai Agbaji&lt;/a&gt;&lt;/b&gt;
    - &lt;i&gt;
    &lt;a target='_blank' href='https://www.nbadraft.net/players/ochai-agbaji'&gt;SG &lt;/a&gt;&lt;/b&gt;
    - 
    &lt;a target='_blank'href='https://www.sports-reference.com/cbb/players/ochai-agbaji-1.html'&gt;Kansas&lt;/a&gt;&lt;/b&gt; &lt;/i&gt;&lt;/li&gt;
  &lt;ul style='list-style-type:none'&gt;
    &lt;li&gt;Grade: Senior &lt;/li&gt;
    &lt;li&gt;Age: 22.2 &lt;/li&gt;
    &lt;li&gt;Height: 77.75 in &lt;/li&gt;
    &lt;li&gt;Weight: 216.8 lbs &lt;/li&gt;
    &lt;li&gt;Wingspan: 82.25 in &lt;/li&gt;
    &lt;li&gt;Reach: 104 in &lt;/li&gt;
    &lt;li&gt;Ape: +4.5 &lt;/li&gt;
    &lt;li&gt;+: on-ball defense &lt;/li&gt;
    &lt;li&gt;-: age, impact &lt;/li&gt;
  &lt;/ul&gt;
  &lt;br&gt;</v>
      </c>
    </row>
    <row r="45" spans="1:53" ht="22" customHeight="1" x14ac:dyDescent="0.2">
      <c r="A45" t="s">
        <v>206</v>
      </c>
      <c r="B45" t="s">
        <v>16</v>
      </c>
      <c r="C45" s="3" t="s">
        <v>309</v>
      </c>
      <c r="D45" s="3" t="s">
        <v>19</v>
      </c>
      <c r="E45" s="9">
        <f t="shared" si="25"/>
        <v>19.622816166883965</v>
      </c>
      <c r="F45" s="7">
        <f t="shared" si="26"/>
        <v>78.5</v>
      </c>
      <c r="G45" s="7">
        <f t="shared" si="27"/>
        <v>181.2</v>
      </c>
      <c r="H45" s="7">
        <f t="shared" si="28"/>
        <v>80.75</v>
      </c>
      <c r="I45" s="7">
        <f t="shared" si="29"/>
        <v>103.5</v>
      </c>
      <c r="J45" s="7" t="str">
        <f t="shared" si="30"/>
        <v>+2.25</v>
      </c>
      <c r="K45" s="9">
        <f t="shared" si="31"/>
        <v>1.1216216216216217</v>
      </c>
      <c r="R45" s="3" t="str">
        <f t="shared" si="17"/>
        <v>HM.</v>
      </c>
      <c r="S45" s="7">
        <f>IFERROR(IF(FLOOR(Q45,1)=FLOOR(Q44,1),S44, MAX(S$5:S44)+1),1)</f>
        <v>6</v>
      </c>
      <c r="T45" s="7">
        <f>IFERROR(INDEX(actual!A:A,MATCH(A45,actual!B:B,FALSE)), "")</f>
        <v>40</v>
      </c>
      <c r="U45" s="7" t="str">
        <f>IFERROR(INDEX(actual!C:C,MATCH(A45,actual!B:B,FALSE)), "")</f>
        <v>CHA</v>
      </c>
      <c r="V45" s="4" t="str">
        <f>HYPERLINK(IF(D45="", "https://www.basketball-reference.com/international", "https://www.sports-reference.com/cbb") &amp; "/players/" &amp; LOWER(SUBSTITUTE(A45, " ", "-") &amp; "-1.html"))</f>
        <v>https://www.sports-reference.com/cbb/players/bryce-mcgowens-1.html</v>
      </c>
      <c r="W45" s="4" t="str">
        <f t="shared" si="23"/>
        <v>https://www.nbadraft.net/players/bryce-mcgowens</v>
      </c>
      <c r="X45" s="17" t="str">
        <f t="shared" si="24"/>
        <v>https://www.nba.com/draft/2022/prospects/bryce-mcgowens</v>
      </c>
      <c r="Y45" s="10">
        <v>37568</v>
      </c>
      <c r="Z45" s="13">
        <f t="shared" si="32"/>
        <v>40</v>
      </c>
      <c r="AA45" s="13">
        <f t="shared" si="33"/>
        <v>36</v>
      </c>
      <c r="AB45" s="13">
        <f t="shared" si="34"/>
        <v>43</v>
      </c>
      <c r="AC45" s="12">
        <f t="shared" si="35"/>
        <v>898</v>
      </c>
      <c r="AD45" s="20">
        <f t="shared" si="36"/>
        <v>474</v>
      </c>
      <c r="AE45" s="20">
        <f t="shared" si="36"/>
        <v>424</v>
      </c>
      <c r="AF45" s="13">
        <v>45</v>
      </c>
      <c r="AG45" s="13">
        <v>10</v>
      </c>
      <c r="AJ45" s="13">
        <v>26</v>
      </c>
      <c r="AK45" s="13">
        <v>46</v>
      </c>
      <c r="AN45" s="13">
        <v>56</v>
      </c>
      <c r="AO45" s="13">
        <v>5</v>
      </c>
      <c r="AP45" s="13">
        <v>29</v>
      </c>
      <c r="AQ45" s="13">
        <v>4</v>
      </c>
      <c r="AR45" s="13">
        <v>27</v>
      </c>
      <c r="AS45" s="13">
        <v>26</v>
      </c>
      <c r="AU45" s="13">
        <v>33</v>
      </c>
      <c r="AV45" s="13">
        <v>25</v>
      </c>
      <c r="AW45" s="2" t="str">
        <f>IFERROR(INDEX(measureables!$A:$J,MATCH($A45,measureables!$A:$A,FALSE),7), "")</f>
        <v>6' 6.50''</v>
      </c>
      <c r="AX45" s="2">
        <f>IFERROR(INDEX(measureables!$A:$J,MATCH($A45,measureables!$A:$A,FALSE),9), "")</f>
        <v>181.2</v>
      </c>
      <c r="AY45" s="2" t="str">
        <f>IFERROR(INDEX(measureables!$A:$J,MATCH($A45,measureables!$A:$A,FALSE),10), "")</f>
        <v>6' 8.75''</v>
      </c>
      <c r="AZ45" s="2" t="str">
        <f>IFERROR(INDEX(measureables!$A:$J,MATCH($A45,measureables!$A:$A,FALSE),8), "")</f>
        <v>8' 7.50''</v>
      </c>
      <c r="BA45" t="str">
        <f t="shared" si="19"/>
        <v xml:space="preserve">
  &lt;/ol&gt;
  &lt;h2&gt; Tier 6 (~0 FV)&lt;/h2&gt;
  &lt;ol start='HM. '&gt;
    &lt;li&gt;&lt;b&gt;&lt;a 
    target='_blank' href='https://www.nba.com/draft/2022/prospects/bryce-mcgowens'&gt;Bryce McGowens&lt;/a&gt;&lt;/b&gt;
    - &lt;i&gt;
    &lt;a target='_blank' href='https://www.nbadraft.net/players/bryce-mcgowens'&gt;SG &lt;/a&gt;&lt;/b&gt;
    - 
    &lt;a target='_blank'href='https://www.sports-reference.com/cbb/players/bryce-mcgowens-1.html'&gt;Nebraska&lt;/a&gt;&lt;/b&gt; &lt;/i&gt;&lt;/li&gt;
  &lt;ul style='list-style-type:none'&gt;
    &lt;li&gt;Grade: Freshman &lt;/li&gt;
    &lt;li&gt;Age: 19.6 &lt;/li&gt;
    &lt;li&gt;Height: 78.5 in &lt;/li&gt;
    &lt;li&gt;Weight: 181.2 lbs &lt;/li&gt;
    &lt;li&gt;Wingspan: 80.75 in &lt;/li&gt;
    &lt;li&gt;Reach: 103.5 in &lt;/li&gt;
    &lt;li&gt;Ape: +2.25 &lt;/li&gt;
  &lt;/ul&gt;
  &lt;br&gt;</v>
      </c>
    </row>
    <row r="46" spans="1:53" ht="22" customHeight="1" x14ac:dyDescent="0.2">
      <c r="A46" t="s">
        <v>142</v>
      </c>
      <c r="B46" t="s">
        <v>12</v>
      </c>
      <c r="C46" s="3" t="s">
        <v>64</v>
      </c>
      <c r="E46" s="9">
        <f t="shared" si="25"/>
        <v>19.433264887063654</v>
      </c>
      <c r="F46" s="7">
        <f t="shared" si="26"/>
        <v>81.25</v>
      </c>
      <c r="G46" s="7">
        <f t="shared" si="27"/>
        <v>236.6</v>
      </c>
      <c r="H46" s="7">
        <f t="shared" si="28"/>
        <v>84.25</v>
      </c>
      <c r="I46" s="7">
        <f t="shared" si="29"/>
        <v>109.5</v>
      </c>
      <c r="J46" s="7" t="str">
        <f t="shared" si="30"/>
        <v>+3</v>
      </c>
      <c r="K46" s="9">
        <f t="shared" si="31"/>
        <v>1.1411764705882352</v>
      </c>
      <c r="R46" s="3" t="str">
        <f t="shared" si="17"/>
        <v>HM.</v>
      </c>
      <c r="S46" s="7">
        <f>IFERROR(IF(FLOOR(Q46,1)=FLOOR(Q45,1),S45, MAX(S$5:S45)+1),1)</f>
        <v>6</v>
      </c>
      <c r="T46" s="7" t="str">
        <f>IFERROR(INDEX(actual!A:A,MATCH(A46,actual!B:B,FALSE)), "")</f>
        <v/>
      </c>
      <c r="U46" s="7" t="str">
        <f>IFERROR(INDEX(actual!C:C,MATCH(A46,actual!B:B,FALSE)), "")</f>
        <v/>
      </c>
      <c r="V46" s="16" t="s">
        <v>362</v>
      </c>
      <c r="W46" s="16" t="s">
        <v>363</v>
      </c>
      <c r="X46" s="16" t="s">
        <v>361</v>
      </c>
      <c r="Y46" s="10">
        <v>37637</v>
      </c>
      <c r="Z46" s="13">
        <f t="shared" si="32"/>
        <v>41</v>
      </c>
      <c r="AA46" s="13">
        <f t="shared" si="33"/>
        <v>50</v>
      </c>
      <c r="AB46" s="13">
        <f t="shared" si="34"/>
        <v>24</v>
      </c>
      <c r="AC46" s="12">
        <f t="shared" si="35"/>
        <v>901</v>
      </c>
      <c r="AD46" s="20">
        <f t="shared" si="36"/>
        <v>580</v>
      </c>
      <c r="AE46" s="20">
        <f t="shared" si="36"/>
        <v>321</v>
      </c>
      <c r="AF46" s="13">
        <v>72</v>
      </c>
      <c r="AG46" s="13">
        <v>13</v>
      </c>
      <c r="AH46" s="13">
        <v>45</v>
      </c>
      <c r="AJ46" s="13">
        <v>14</v>
      </c>
      <c r="AK46" s="13">
        <v>23</v>
      </c>
      <c r="AL46" s="13">
        <v>16</v>
      </c>
      <c r="AN46" s="13">
        <v>36</v>
      </c>
      <c r="AO46" s="13">
        <v>4</v>
      </c>
      <c r="AP46" s="13">
        <v>31</v>
      </c>
      <c r="AQ46" s="13">
        <v>5</v>
      </c>
      <c r="AS46" s="13">
        <v>70</v>
      </c>
      <c r="AT46" s="13">
        <v>6</v>
      </c>
      <c r="AU46" s="13">
        <v>49</v>
      </c>
      <c r="AW46" s="2" t="str">
        <f>IFERROR(INDEX(measureables!$A:$J,MATCH($A46,measureables!$A:$A,FALSE),7), "")</f>
        <v>6' 9.25''</v>
      </c>
      <c r="AX46" s="2">
        <f>IFERROR(INDEX(measureables!$A:$J,MATCH($A46,measureables!$A:$A,FALSE),9), "")</f>
        <v>236.6</v>
      </c>
      <c r="AY46" s="2" t="str">
        <f>IFERROR(INDEX(measureables!$A:$J,MATCH($A46,measureables!$A:$A,FALSE),10), "")</f>
        <v>7' 0.25''</v>
      </c>
      <c r="AZ46" s="2" t="str">
        <f>IFERROR(INDEX(measureables!$A:$J,MATCH($A46,measureables!$A:$A,FALSE),8), "")</f>
        <v>9' 1.50''</v>
      </c>
      <c r="BA46" t="str">
        <f t="shared" si="19"/>
        <v xml:space="preserve">  &lt;li&gt;&lt;b&gt;&lt;a 
    target='_blank' href='https://www.nba.com/draft/2022/prospects/michael-foster'&gt;Michael Foster Jr.&lt;/a&gt;&lt;/b&gt;
    - &lt;i&gt;
    &lt;a target='_blank' href='https://www.nbadraft.net/players/michael-foster/'&gt;C &lt;/a&gt;&lt;/b&gt;
    - 
    &lt;a target='_blank'href='https://www.basketball-reference.com/gleague/players/f/fostemi01d.html'&gt;G League Ignite&lt;/a&gt;&lt;/b&gt; &lt;/i&gt;&lt;/li&gt;
  &lt;ul style='list-style-type:none'&gt;
    &lt;li&gt;Age: 19.4 &lt;/li&gt;
    &lt;li&gt;Height: 81.25 in &lt;/li&gt;
    &lt;li&gt;Weight: 236.6 lbs &lt;/li&gt;
    &lt;li&gt;Wingspan: 84.25 in &lt;/li&gt;
    &lt;li&gt;Reach: 109.5 in &lt;/li&gt;
    &lt;li&gt;Ape: +3 &lt;/li&gt;
  &lt;/ul&gt;
  &lt;br&gt;</v>
      </c>
    </row>
    <row r="47" spans="1:53" ht="22" customHeight="1" x14ac:dyDescent="0.2">
      <c r="A47" t="s">
        <v>161</v>
      </c>
      <c r="B47" t="s">
        <v>14</v>
      </c>
      <c r="C47" s="3" t="s">
        <v>85</v>
      </c>
      <c r="D47" s="3" t="s">
        <v>19</v>
      </c>
      <c r="E47" s="9">
        <f t="shared" si="25"/>
        <v>19.781616688396348</v>
      </c>
      <c r="F47" s="7">
        <f t="shared" si="26"/>
        <v>80</v>
      </c>
      <c r="G47" s="7">
        <f t="shared" si="27"/>
        <v>203.4</v>
      </c>
      <c r="H47" s="7">
        <f t="shared" si="28"/>
        <v>84.5</v>
      </c>
      <c r="I47" s="7">
        <f t="shared" si="29"/>
        <v>107.5</v>
      </c>
      <c r="J47" s="7" t="str">
        <f t="shared" si="30"/>
        <v>+4.5</v>
      </c>
      <c r="K47" s="9">
        <f t="shared" si="31"/>
        <v>1.2250000000000001</v>
      </c>
      <c r="R47" s="3" t="str">
        <f t="shared" si="17"/>
        <v>HM.</v>
      </c>
      <c r="S47" s="7">
        <f>IFERROR(IF(FLOOR(Q47,1)=FLOOR(Q46,1),S46, MAX(S$5:S46)+1),1)</f>
        <v>6</v>
      </c>
      <c r="T47" s="7">
        <f>IFERROR(INDEX(actual!A:A,MATCH(A47,actual!B:B,FALSE)), "")</f>
        <v>30</v>
      </c>
      <c r="U47" s="7" t="str">
        <f>IFERROR(INDEX(actual!C:C,MATCH(A47,actual!B:B,FALSE)), "")</f>
        <v>DEN</v>
      </c>
      <c r="V47" s="4" t="str">
        <f>HYPERLINK(IF(D47="", "https://www.basketball-reference.com/international", "https://www.sports-reference.com/cbb") &amp; "/players/" &amp; LOWER(SUBSTITUTE(A47, " ", "-") &amp; "-1.html"))</f>
        <v>https://www.sports-reference.com/cbb/players/peyton-watson-1.html</v>
      </c>
      <c r="W47" s="4" t="str">
        <f>HYPERLINK("https://www.nbadraft.net/players/" &amp; LOWER(SUBSTITUTE(A47, " ", "-") &amp; ""))</f>
        <v>https://www.nbadraft.net/players/peyton-watson</v>
      </c>
      <c r="X47" s="17" t="str">
        <f t="shared" ref="X47:X55" si="37">HYPERLINK("https://www.nba.com/draft/2022/prospects/" &amp; LOWER(SUBSTITUTE(A47, " ", "-") &amp; ""))</f>
        <v>https://www.nba.com/draft/2022/prospects/peyton-watson</v>
      </c>
      <c r="Y47" s="10">
        <v>37510</v>
      </c>
      <c r="Z47" s="13">
        <f t="shared" si="32"/>
        <v>42</v>
      </c>
      <c r="AA47" s="13">
        <f t="shared" si="33"/>
        <v>36</v>
      </c>
      <c r="AB47" s="13">
        <f t="shared" si="34"/>
        <v>46</v>
      </c>
      <c r="AC47" s="12">
        <f t="shared" si="35"/>
        <v>923</v>
      </c>
      <c r="AD47" s="20">
        <f t="shared" si="36"/>
        <v>474</v>
      </c>
      <c r="AE47" s="20">
        <f t="shared" si="36"/>
        <v>449</v>
      </c>
      <c r="AF47" s="13">
        <v>46</v>
      </c>
      <c r="AG47" s="13">
        <v>10</v>
      </c>
      <c r="AH47" s="13">
        <v>25</v>
      </c>
      <c r="AI47" s="13">
        <v>21</v>
      </c>
      <c r="AJ47" s="13">
        <v>66</v>
      </c>
      <c r="AK47" s="13">
        <v>69</v>
      </c>
      <c r="AN47" s="13">
        <v>34</v>
      </c>
      <c r="AO47" s="13">
        <v>4</v>
      </c>
      <c r="AP47" s="13">
        <v>43</v>
      </c>
      <c r="AQ47" s="13">
        <v>5</v>
      </c>
      <c r="AS47" s="13">
        <v>39</v>
      </c>
      <c r="AT47" s="13">
        <v>5</v>
      </c>
      <c r="AU47" s="13">
        <v>34</v>
      </c>
      <c r="AV47" s="13">
        <v>8</v>
      </c>
      <c r="AW47" s="2" t="str">
        <f>IFERROR(INDEX(measureables!$A:$J,MATCH($A47,measureables!$A:$A,FALSE),7), "")</f>
        <v>6' 8.00''</v>
      </c>
      <c r="AX47" s="2">
        <f>IFERROR(INDEX(measureables!$A:$J,MATCH($A47,measureables!$A:$A,FALSE),9), "")</f>
        <v>203.4</v>
      </c>
      <c r="AY47" s="2" t="str">
        <f>IFERROR(INDEX(measureables!$A:$J,MATCH($A47,measureables!$A:$A,FALSE),10), "")</f>
        <v>7' 0.50''</v>
      </c>
      <c r="AZ47" s="2" t="str">
        <f>IFERROR(INDEX(measureables!$A:$J,MATCH($A47,measureables!$A:$A,FALSE),8), "")</f>
        <v>8' 11.50''</v>
      </c>
      <c r="BA47" t="str">
        <f t="shared" si="19"/>
        <v xml:space="preserve">  &lt;li&gt;&lt;b&gt;&lt;a 
    target='_blank' href='https://www.nba.com/draft/2022/prospects/peyton-watson'&gt;Peyton Watson&lt;/a&gt;&lt;/b&gt;
    - &lt;i&gt;
    &lt;a target='_blank' href='https://www.nbadraft.net/players/peyton-watson'&gt;SF &lt;/a&gt;&lt;/b&gt;
    - 
    &lt;a target='_blank'href='https://www.sports-reference.com/cbb/players/peyton-watson-1.html'&gt;UCLA&lt;/a&gt;&lt;/b&gt; &lt;/i&gt;&lt;/li&gt;
  &lt;ul style='list-style-type:none'&gt;
    &lt;li&gt;Grade: Freshman &lt;/li&gt;
    &lt;li&gt;Age: 19.8 &lt;/li&gt;
    &lt;li&gt;Height: 80 in &lt;/li&gt;
    &lt;li&gt;Weight: 203.4 lbs &lt;/li&gt;
    &lt;li&gt;Wingspan: 84.5 in &lt;/li&gt;
    &lt;li&gt;Reach: 107.5 in &lt;/li&gt;
    &lt;li&gt;Ape: +4.5 &lt;/li&gt;
  &lt;/ul&gt;
  &lt;br&gt;</v>
      </c>
    </row>
    <row r="48" spans="1:53" ht="22" customHeight="1" x14ac:dyDescent="0.2">
      <c r="A48" t="s">
        <v>50</v>
      </c>
      <c r="B48" t="s">
        <v>14</v>
      </c>
      <c r="C48" s="3" t="s">
        <v>323</v>
      </c>
      <c r="D48" s="3" t="s">
        <v>72</v>
      </c>
      <c r="E48" s="9">
        <f t="shared" si="25"/>
        <v>20.984194150591161</v>
      </c>
      <c r="F48" s="7">
        <f t="shared" si="26"/>
        <v>79.75</v>
      </c>
      <c r="G48" s="7">
        <f t="shared" si="27"/>
        <v>212.4</v>
      </c>
      <c r="H48" s="7">
        <f t="shared" si="28"/>
        <v>82</v>
      </c>
      <c r="I48" s="7">
        <f t="shared" si="29"/>
        <v>107</v>
      </c>
      <c r="J48" s="7" t="str">
        <f t="shared" si="30"/>
        <v>+2.25</v>
      </c>
      <c r="K48" s="9">
        <f t="shared" si="31"/>
        <v>1.1139240506329113</v>
      </c>
      <c r="R48" s="3" t="str">
        <f t="shared" si="17"/>
        <v>HM.</v>
      </c>
      <c r="S48" s="7">
        <f>IFERROR(IF(FLOOR(Q48,1)=FLOOR(Q47,1),S47, MAX(S$5:S47)+1),1)</f>
        <v>6</v>
      </c>
      <c r="T48" s="7" t="str">
        <f>IFERROR(INDEX(actual!A:A,MATCH(A48,actual!B:B,FALSE)), "")</f>
        <v/>
      </c>
      <c r="U48" s="7" t="str">
        <f>IFERROR(INDEX(actual!C:C,MATCH(A48,actual!B:B,FALSE)), "")</f>
        <v/>
      </c>
      <c r="V48" s="4" t="str">
        <f>HYPERLINK(IF(D48="", "https://www.basketball-reference.com/international", "https://www.sports-reference.com/cbb") &amp; "/players/" &amp; LOWER(SUBSTITUTE(A48, " ", "-") &amp; "-1.html"))</f>
        <v>https://www.sports-reference.com/cbb/players/julian-champagnie-1.html</v>
      </c>
      <c r="W48" s="4" t="str">
        <f>HYPERLINK("https://www.nbadraft.net/players/" &amp; LOWER(SUBSTITUTE(A48, " ", "-") &amp; ""))</f>
        <v>https://www.nbadraft.net/players/julian-champagnie</v>
      </c>
      <c r="X48" s="17" t="str">
        <f t="shared" si="37"/>
        <v>https://www.nba.com/draft/2022/prospects/julian-champagnie</v>
      </c>
      <c r="Y48" s="10">
        <v>37071</v>
      </c>
      <c r="Z48" s="13">
        <f t="shared" si="32"/>
        <v>43</v>
      </c>
      <c r="AA48" s="13">
        <f t="shared" si="33"/>
        <v>51</v>
      </c>
      <c r="AB48" s="13">
        <f t="shared" si="34"/>
        <v>33</v>
      </c>
      <c r="AC48" s="12">
        <f t="shared" si="35"/>
        <v>939</v>
      </c>
      <c r="AD48" s="20">
        <f t="shared" si="36"/>
        <v>581</v>
      </c>
      <c r="AE48" s="20">
        <f t="shared" si="36"/>
        <v>358</v>
      </c>
      <c r="AF48" s="13">
        <v>28</v>
      </c>
      <c r="AG48" s="13">
        <v>7</v>
      </c>
      <c r="AH48" s="13">
        <v>27</v>
      </c>
      <c r="AJ48" s="13">
        <v>47</v>
      </c>
      <c r="AK48" s="13">
        <v>41</v>
      </c>
      <c r="AL48" s="13">
        <v>8</v>
      </c>
      <c r="AN48" s="13">
        <v>66</v>
      </c>
      <c r="AO48" s="13">
        <v>5</v>
      </c>
      <c r="AP48" s="13">
        <v>48</v>
      </c>
      <c r="AQ48" s="13">
        <v>5</v>
      </c>
      <c r="AS48" s="13">
        <v>59</v>
      </c>
      <c r="AT48" s="13">
        <v>6</v>
      </c>
      <c r="AU48" s="13">
        <v>69</v>
      </c>
      <c r="AW48" s="2" t="str">
        <f>IFERROR(INDEX(measureables!$A:$J,MATCH($A48,measureables!$A:$A,FALSE),7), "")</f>
        <v>6' 7.75''</v>
      </c>
      <c r="AX48" s="2">
        <f>IFERROR(INDEX(measureables!$A:$J,MATCH($A48,measureables!$A:$A,FALSE),9), "")</f>
        <v>212.4</v>
      </c>
      <c r="AY48" s="2" t="str">
        <f>IFERROR(INDEX(measureables!$A:$J,MATCH($A48,measureables!$A:$A,FALSE),10), "")</f>
        <v>6' 10.00''</v>
      </c>
      <c r="AZ48" s="2" t="str">
        <f>IFERROR(INDEX(measureables!$A:$J,MATCH($A48,measureables!$A:$A,FALSE),8), "")</f>
        <v>8' 11.00''</v>
      </c>
      <c r="BA48" t="str">
        <f t="shared" si="19"/>
        <v xml:space="preserve">  &lt;li&gt;&lt;b&gt;&lt;a 
    target='_blank' href='https://www.nba.com/draft/2022/prospects/julian-champagnie'&gt;Julian Champagnie&lt;/a&gt;&lt;/b&gt;
    - &lt;i&gt;
    &lt;a target='_blank' href='https://www.nbadraft.net/players/julian-champagnie'&gt;SF &lt;/a&gt;&lt;/b&gt;
    - 
    &lt;a target='_blank'href='https://www.sports-reference.com/cbb/players/julian-champagnie-1.html'&gt;St. John's&lt;/a&gt;&lt;/b&gt; &lt;/i&gt;&lt;/li&gt;
  &lt;ul style='list-style-type:none'&gt;
    &lt;li&gt;Grade: Junior &lt;/li&gt;
    &lt;li&gt;Age: 21 &lt;/li&gt;
    &lt;li&gt;Height: 79.75 in &lt;/li&gt;
    &lt;li&gt;Weight: 212.4 lbs &lt;/li&gt;
    &lt;li&gt;Wingspan: 82 in &lt;/li&gt;
    &lt;li&gt;Reach: 107 in &lt;/li&gt;
    &lt;li&gt;Ape: +2.25 &lt;/li&gt;
  &lt;/ul&gt;
  &lt;br&gt;</v>
      </c>
    </row>
    <row r="49" spans="1:53" ht="22" customHeight="1" x14ac:dyDescent="0.2">
      <c r="A49" t="s">
        <v>190</v>
      </c>
      <c r="B49" t="s">
        <v>13</v>
      </c>
      <c r="C49" s="3" t="s">
        <v>82</v>
      </c>
      <c r="D49" s="3" t="s">
        <v>66</v>
      </c>
      <c r="E49" s="9">
        <f t="shared" si="25"/>
        <v>19.8993481095176</v>
      </c>
      <c r="F49" s="7">
        <f t="shared" si="26"/>
        <v>80</v>
      </c>
      <c r="G49" s="7">
        <f t="shared" si="27"/>
        <v>213.8</v>
      </c>
      <c r="H49" s="7">
        <f t="shared" si="28"/>
        <v>82.75</v>
      </c>
      <c r="I49" s="7">
        <f t="shared" si="29"/>
        <v>105</v>
      </c>
      <c r="J49" s="7" t="str">
        <f t="shared" si="30"/>
        <v>+2.75</v>
      </c>
      <c r="K49" s="9">
        <f t="shared" si="31"/>
        <v>1.1375</v>
      </c>
      <c r="R49" s="3" t="str">
        <f t="shared" si="17"/>
        <v>HM.</v>
      </c>
      <c r="S49" s="7">
        <f>IFERROR(IF(FLOOR(Q49,1)=FLOOR(Q48,1),S48, MAX(S$5:S48)+1),1)</f>
        <v>6</v>
      </c>
      <c r="T49" s="7">
        <f>IFERROR(INDEX(actual!A:A,MATCH(A49,actual!B:B,FALSE)), "")</f>
        <v>57</v>
      </c>
      <c r="U49" s="7" t="str">
        <f>IFERROR(INDEX(actual!C:C,MATCH(A49,actual!B:B,FALSE)), "")</f>
        <v>POR</v>
      </c>
      <c r="V49" s="4" t="str">
        <f>HYPERLINK(IF(D49="", "https://www.basketball-reference.com/international", "https://www.sports-reference.com/cbb") &amp; "/players/" &amp; LOWER(SUBSTITUTE(A49, " ", "-") &amp; "-1.html"))</f>
        <v>https://www.sports-reference.com/cbb/players/jabari-walker-1.html</v>
      </c>
      <c r="W49" s="4" t="str">
        <f>HYPERLINK("https://www.nbadraft.net/players/" &amp; LOWER(SUBSTITUTE(A49, " ", "-") &amp; ""))</f>
        <v>https://www.nbadraft.net/players/jabari-walker</v>
      </c>
      <c r="X49" s="17" t="str">
        <f t="shared" si="37"/>
        <v>https://www.nba.com/draft/2022/prospects/jabari-walker</v>
      </c>
      <c r="Y49" s="10">
        <v>37467</v>
      </c>
      <c r="Z49" s="13">
        <f t="shared" si="32"/>
        <v>44</v>
      </c>
      <c r="AA49" s="13">
        <f t="shared" si="33"/>
        <v>52</v>
      </c>
      <c r="AB49" s="13">
        <f t="shared" si="34"/>
        <v>28</v>
      </c>
      <c r="AC49" s="12">
        <f t="shared" si="35"/>
        <v>948</v>
      </c>
      <c r="AD49" s="20">
        <f t="shared" si="36"/>
        <v>610</v>
      </c>
      <c r="AE49" s="20">
        <f t="shared" si="36"/>
        <v>338</v>
      </c>
      <c r="AF49" s="13">
        <v>55</v>
      </c>
      <c r="AG49" s="13">
        <v>12</v>
      </c>
      <c r="AH49" s="13">
        <v>8</v>
      </c>
      <c r="AI49" s="13">
        <v>25</v>
      </c>
      <c r="AJ49" s="13">
        <v>71</v>
      </c>
      <c r="AK49" s="13">
        <v>25</v>
      </c>
      <c r="AL49" s="13">
        <v>18</v>
      </c>
      <c r="AN49" s="13">
        <v>45</v>
      </c>
      <c r="AO49" s="13">
        <v>4</v>
      </c>
      <c r="AP49" s="13">
        <v>58</v>
      </c>
      <c r="AQ49" s="13">
        <v>6</v>
      </c>
      <c r="AS49" s="13">
        <v>49</v>
      </c>
      <c r="AT49" s="13">
        <v>5</v>
      </c>
      <c r="AU49" s="13">
        <v>64</v>
      </c>
      <c r="AW49" s="2" t="str">
        <f>IFERROR(INDEX(measureables!$A:$J,MATCH($A49,measureables!$A:$A,FALSE),7), "")</f>
        <v>6' 8.00''</v>
      </c>
      <c r="AX49" s="2">
        <f>IFERROR(INDEX(measureables!$A:$J,MATCH($A49,measureables!$A:$A,FALSE),9), "")</f>
        <v>213.8</v>
      </c>
      <c r="AY49" s="2" t="str">
        <f>IFERROR(INDEX(measureables!$A:$J,MATCH($A49,measureables!$A:$A,FALSE),10), "")</f>
        <v>6' 10.75''</v>
      </c>
      <c r="AZ49" s="2" t="str">
        <f>IFERROR(INDEX(measureables!$A:$J,MATCH($A49,measureables!$A:$A,FALSE),8), "")</f>
        <v>8' 9.00''</v>
      </c>
      <c r="BA49" t="str">
        <f t="shared" si="19"/>
        <v xml:space="preserve">  &lt;li&gt;&lt;b&gt;&lt;a 
    target='_blank' href='https://www.nba.com/draft/2022/prospects/jabari-walker'&gt;Jabari Walker&lt;/a&gt;&lt;/b&gt;
    - &lt;i&gt;
    &lt;a target='_blank' href='https://www.nbadraft.net/players/jabari-walker'&gt;PF &lt;/a&gt;&lt;/b&gt;
    - 
    &lt;a target='_blank'href='https://www.sports-reference.com/cbb/players/jabari-walker-1.html'&gt;Colorado&lt;/a&gt;&lt;/b&gt; &lt;/i&gt;&lt;/li&gt;
  &lt;ul style='list-style-type:none'&gt;
    &lt;li&gt;Grade: Sophomore &lt;/li&gt;
    &lt;li&gt;Age: 19.9 &lt;/li&gt;
    &lt;li&gt;Height: 80 in &lt;/li&gt;
    &lt;li&gt;Weight: 213.8 lbs &lt;/li&gt;
    &lt;li&gt;Wingspan: 82.75 in &lt;/li&gt;
    &lt;li&gt;Reach: 105 in &lt;/li&gt;
    &lt;li&gt;Ape: +2.75 &lt;/li&gt;
  &lt;/ul&gt;
  &lt;br&gt;</v>
      </c>
    </row>
    <row r="50" spans="1:53" ht="22" customHeight="1" x14ac:dyDescent="0.2">
      <c r="A50" t="s">
        <v>265</v>
      </c>
      <c r="B50" t="s">
        <v>258</v>
      </c>
      <c r="C50" s="3" t="s">
        <v>326</v>
      </c>
      <c r="D50" s="3" t="s">
        <v>19</v>
      </c>
      <c r="E50" s="9">
        <f t="shared" si="25"/>
        <v>19.858279009126466</v>
      </c>
      <c r="F50" s="7">
        <f t="shared" si="26"/>
        <v>79</v>
      </c>
      <c r="G50" s="7">
        <f t="shared" si="27"/>
        <v>276</v>
      </c>
      <c r="H50" s="7" t="str">
        <f t="shared" si="28"/>
        <v/>
      </c>
      <c r="I50" s="7" t="str">
        <f t="shared" si="29"/>
        <v/>
      </c>
      <c r="J50" s="7" t="str">
        <f t="shared" si="30"/>
        <v/>
      </c>
      <c r="K50" s="9" t="str">
        <f t="shared" si="31"/>
        <v/>
      </c>
      <c r="R50" s="3" t="str">
        <f t="shared" si="17"/>
        <v>HM.</v>
      </c>
      <c r="S50" s="7">
        <f>IFERROR(IF(FLOOR(Q50,1)=FLOOR(Q49,1),S49, MAX(S$5:S49)+1),1)</f>
        <v>6</v>
      </c>
      <c r="T50" s="7" t="str">
        <f>IFERROR(INDEX(actual!A:A,MATCH(A50,actual!B:B,FALSE)), "")</f>
        <v/>
      </c>
      <c r="U50" s="7" t="str">
        <f>IFERROR(INDEX(actual!C:C,MATCH(A50,actual!B:B,FALSE)), "")</f>
        <v/>
      </c>
      <c r="V50" s="16" t="s">
        <v>328</v>
      </c>
      <c r="W50" s="16" t="s">
        <v>329</v>
      </c>
      <c r="X50" s="17" t="str">
        <f t="shared" si="37"/>
        <v>https://www.nba.com/draft/2022/prospects/kenneth-lofton-jr.</v>
      </c>
      <c r="Y50" s="10">
        <v>37482</v>
      </c>
      <c r="Z50" s="13">
        <f t="shared" si="32"/>
        <v>45</v>
      </c>
      <c r="AA50" s="13">
        <f t="shared" si="33"/>
        <v>53</v>
      </c>
      <c r="AB50" s="13">
        <f t="shared" si="34"/>
        <v>28</v>
      </c>
      <c r="AC50" s="12">
        <f t="shared" si="35"/>
        <v>958</v>
      </c>
      <c r="AD50" s="20">
        <f t="shared" si="36"/>
        <v>620</v>
      </c>
      <c r="AE50" s="20">
        <f t="shared" si="36"/>
        <v>338</v>
      </c>
      <c r="AF50" s="13">
        <v>36</v>
      </c>
      <c r="AG50" s="13">
        <v>9</v>
      </c>
      <c r="AH50" s="13">
        <v>10</v>
      </c>
      <c r="AJ50" s="13">
        <v>60</v>
      </c>
      <c r="AK50" s="13">
        <v>38</v>
      </c>
      <c r="AL50" s="13">
        <v>20</v>
      </c>
      <c r="AN50" s="13">
        <v>50</v>
      </c>
      <c r="AO50" s="13">
        <v>5</v>
      </c>
      <c r="AP50" s="13">
        <v>52</v>
      </c>
      <c r="AQ50" s="13">
        <v>6</v>
      </c>
      <c r="AS50" s="13">
        <v>98</v>
      </c>
      <c r="AT50" s="13">
        <v>7</v>
      </c>
      <c r="AU50" s="13">
        <v>66</v>
      </c>
      <c r="AW50" s="2" t="str">
        <f>IFERROR(INDEX(measureables!$A:$J,MATCH($A50,measureables!$A:$A,FALSE),7), "")</f>
        <v>6' 7''</v>
      </c>
      <c r="AX50" s="2">
        <f>IFERROR(INDEX(measureables!$A:$J,MATCH($A50,measureables!$A:$A,FALSE),9), "")</f>
        <v>276</v>
      </c>
      <c r="AY50" s="2">
        <f>IFERROR(INDEX(measureables!$A:$J,MATCH($A50,measureables!$A:$A,FALSE),10), "")</f>
        <v>0</v>
      </c>
      <c r="AZ50" s="2">
        <f>IFERROR(INDEX(measureables!$A:$J,MATCH($A50,measureables!$A:$A,FALSE),8), "")</f>
        <v>0</v>
      </c>
      <c r="BA50" t="str">
        <f t="shared" si="19"/>
        <v xml:space="preserve">  &lt;li&gt;&lt;b&gt;&lt;a 
    target='_blank' href='https://www.nba.com/draft/2022/prospects/kenneth-lofton-jr.'&gt;Kenneth Lofton Jr.&lt;/a&gt;&lt;/b&gt;
    - &lt;i&gt;
    &lt;a target='_blank' href='https://www.nbadraft.net/players/kenneth-lofton/'&gt;PF-C &lt;/a&gt;&lt;/b&gt;
    - 
    &lt;a target='_blank'href='https://www.sports-reference.com/cbb/players/kenneth-loftonjr-1.html'&gt;Louisiana Tech&lt;/a&gt;&lt;/b&gt; &lt;/i&gt;&lt;/li&gt;
  &lt;ul style='list-style-type:none'&gt;
    &lt;li&gt;Grade: Freshman &lt;/li&gt;
    &lt;li&gt;Age: 19.9 &lt;/li&gt;
    &lt;li&gt;Height: 79 in &lt;/li&gt;
    &lt;li&gt;Weight: 276 lbs &lt;/li&gt;
  &lt;/ul&gt;
  &lt;br&gt;</v>
      </c>
    </row>
    <row r="51" spans="1:53" ht="22" customHeight="1" x14ac:dyDescent="0.2">
      <c r="A51" t="s">
        <v>336</v>
      </c>
      <c r="B51" t="s">
        <v>14</v>
      </c>
      <c r="C51" s="3" t="s">
        <v>65</v>
      </c>
      <c r="D51" s="3" t="s">
        <v>19</v>
      </c>
      <c r="E51" s="9">
        <f t="shared" si="25"/>
        <v>19.452429842573579</v>
      </c>
      <c r="F51" s="7">
        <f t="shared" si="26"/>
        <v>80</v>
      </c>
      <c r="G51" s="7">
        <f t="shared" si="27"/>
        <v>205</v>
      </c>
      <c r="H51" s="7" t="str">
        <f t="shared" si="28"/>
        <v/>
      </c>
      <c r="I51" s="7" t="str">
        <f t="shared" si="29"/>
        <v/>
      </c>
      <c r="J51" s="7" t="str">
        <f t="shared" si="30"/>
        <v/>
      </c>
      <c r="K51" s="9" t="str">
        <f t="shared" si="31"/>
        <v/>
      </c>
      <c r="R51" s="3" t="str">
        <f t="shared" si="17"/>
        <v>HM.</v>
      </c>
      <c r="S51" s="7">
        <f>IFERROR(IF(FLOOR(Q51,1)=FLOOR(Q50,1),S50, MAX(S$5:S50)+1),1)</f>
        <v>6</v>
      </c>
      <c r="T51" s="7">
        <f>IFERROR(INDEX(actual!A:A,MATCH(A51,actual!B:B,FALSE)), "")</f>
        <v>32</v>
      </c>
      <c r="U51" s="7" t="str">
        <f>IFERROR(INDEX(actual!C:C,MATCH(A51,actual!B:B,FALSE)), "")</f>
        <v>ORL</v>
      </c>
      <c r="V51" s="4" t="str">
        <f>HYPERLINK(IF(D51="", "https://www.basketball-reference.com/international", "https://www.sports-reference.com/cbb") &amp; "/players/" &amp; LOWER(SUBSTITUTE(A51, " ", "-") &amp; "-1.html"))</f>
        <v>https://www.sports-reference.com/cbb/players/caleb-houstan-1.html</v>
      </c>
      <c r="W51" s="4" t="str">
        <f>HYPERLINK("https://www.nbadraft.net/players/" &amp; LOWER(SUBSTITUTE(A51, " ", "-") &amp; ""))</f>
        <v>https://www.nbadraft.net/players/caleb-houstan</v>
      </c>
      <c r="X51" s="17" t="str">
        <f t="shared" si="37"/>
        <v>https://www.nba.com/draft/2022/prospects/caleb-houstan</v>
      </c>
      <c r="Y51" s="10">
        <v>37630</v>
      </c>
      <c r="Z51" s="13">
        <f t="shared" si="32"/>
        <v>46</v>
      </c>
      <c r="AA51" s="13">
        <f t="shared" si="33"/>
        <v>39</v>
      </c>
      <c r="AB51" s="13">
        <f t="shared" si="34"/>
        <v>59</v>
      </c>
      <c r="AC51" s="12">
        <f t="shared" si="35"/>
        <v>1014</v>
      </c>
      <c r="AD51" s="20">
        <f t="shared" si="36"/>
        <v>496</v>
      </c>
      <c r="AE51" s="20">
        <f t="shared" si="36"/>
        <v>518</v>
      </c>
      <c r="AF51" s="13">
        <v>44</v>
      </c>
      <c r="AG51" s="13">
        <v>10</v>
      </c>
      <c r="AJ51" s="13">
        <v>52</v>
      </c>
      <c r="AK51" s="13">
        <v>62</v>
      </c>
      <c r="AN51" s="13">
        <v>39</v>
      </c>
      <c r="AO51" s="13">
        <v>4</v>
      </c>
      <c r="AP51" s="13">
        <v>42</v>
      </c>
      <c r="AQ51" s="13">
        <v>5</v>
      </c>
      <c r="AS51" s="13">
        <v>46</v>
      </c>
      <c r="AT51" s="13">
        <v>5</v>
      </c>
      <c r="AU51" s="13">
        <v>47</v>
      </c>
      <c r="AV51" s="13">
        <v>6</v>
      </c>
      <c r="AW51" s="2" t="str">
        <f>IFERROR(INDEX(measureables!$A:$J,MATCH($A51,measureables!$A:$A,FALSE),7), "")</f>
        <v>6' 8''</v>
      </c>
      <c r="AX51" s="2">
        <f>IFERROR(INDEX(measureables!$A:$J,MATCH($A51,measureables!$A:$A,FALSE),9), "")</f>
        <v>205</v>
      </c>
      <c r="AY51" s="2">
        <f>IFERROR(INDEX(measureables!$A:$J,MATCH($A51,measureables!$A:$A,FALSE),10), "")</f>
        <v>0</v>
      </c>
      <c r="AZ51" s="2">
        <f>IFERROR(INDEX(measureables!$A:$J,MATCH($A51,measureables!$A:$A,FALSE),8), "")</f>
        <v>0</v>
      </c>
      <c r="BA51" t="str">
        <f t="shared" si="19"/>
        <v xml:space="preserve">  &lt;li&gt;&lt;b&gt;&lt;a 
    target='_blank' href='https://www.nba.com/draft/2022/prospects/caleb-houstan'&gt;Caleb Houstan&lt;/a&gt;&lt;/b&gt;
    - &lt;i&gt;
    &lt;a target='_blank' href='https://www.nbadraft.net/players/caleb-houstan'&gt;SF &lt;/a&gt;&lt;/b&gt;
    - 
    &lt;a target='_blank'href='https://www.sports-reference.com/cbb/players/caleb-houstan-1.html'&gt;Michigan&lt;/a&gt;&lt;/b&gt; &lt;/i&gt;&lt;/li&gt;
  &lt;ul style='list-style-type:none'&gt;
    &lt;li&gt;Grade: Freshman &lt;/li&gt;
    &lt;li&gt;Age: 19.5 &lt;/li&gt;
    &lt;li&gt;Height: 80 in &lt;/li&gt;
    &lt;li&gt;Weight: 205 lbs &lt;/li&gt;
  &lt;/ul&gt;
  &lt;br&gt;</v>
      </c>
    </row>
    <row r="52" spans="1:53" ht="22" customHeight="1" x14ac:dyDescent="0.2">
      <c r="A52" t="s">
        <v>207</v>
      </c>
      <c r="B52" t="s">
        <v>16</v>
      </c>
      <c r="C52" s="3" t="s">
        <v>324</v>
      </c>
      <c r="D52" s="3" t="s">
        <v>66</v>
      </c>
      <c r="E52" s="9">
        <f t="shared" si="25"/>
        <v>22.24163790024997</v>
      </c>
      <c r="F52" s="7">
        <f t="shared" si="26"/>
        <v>77.75</v>
      </c>
      <c r="G52" s="7">
        <f t="shared" si="27"/>
        <v>182.4</v>
      </c>
      <c r="H52" s="7">
        <f t="shared" si="28"/>
        <v>80.75</v>
      </c>
      <c r="I52" s="7">
        <f t="shared" si="29"/>
        <v>103.5</v>
      </c>
      <c r="J52" s="7" t="str">
        <f t="shared" si="30"/>
        <v>+3</v>
      </c>
      <c r="K52" s="9">
        <f t="shared" si="31"/>
        <v>1.1690140845070423</v>
      </c>
      <c r="R52" s="3" t="str">
        <f t="shared" si="17"/>
        <v>HM.</v>
      </c>
      <c r="S52" s="7">
        <f>IFERROR(IF(FLOOR(Q52,1)=FLOOR(Q51,1),S51, MAX(S$5:S51)+1),1)</f>
        <v>6</v>
      </c>
      <c r="T52" s="7" t="str">
        <f>IFERROR(INDEX(actual!A:A,MATCH(A52,actual!B:B,FALSE)), "")</f>
        <v/>
      </c>
      <c r="U52" s="7" t="str">
        <f>IFERROR(INDEX(actual!C:C,MATCH(A52,actual!B:B,FALSE)), "")</f>
        <v/>
      </c>
      <c r="V52" s="4" t="str">
        <f>HYPERLINK(IF(D52="", "https://www.basketball-reference.com/international", "https://www.sports-reference.com/cbb") &amp; "/players/" &amp; LOWER(SUBSTITUTE(A52, " ", "-") &amp; "-1.html"))</f>
        <v>https://www.sports-reference.com/cbb/players/dereon-seabron-1.html</v>
      </c>
      <c r="W52" s="4" t="str">
        <f>HYPERLINK("https://www.nbadraft.net/players/" &amp; LOWER(SUBSTITUTE(A52, " ", "-") &amp; ""))</f>
        <v>https://www.nbadraft.net/players/dereon-seabron</v>
      </c>
      <c r="X52" s="17" t="str">
        <f t="shared" si="37"/>
        <v>https://www.nba.com/draft/2022/prospects/dereon-seabron</v>
      </c>
      <c r="Y52" s="10">
        <v>36611</v>
      </c>
      <c r="Z52" s="13">
        <f t="shared" si="32"/>
        <v>46</v>
      </c>
      <c r="AA52" s="13">
        <f t="shared" si="33"/>
        <v>41</v>
      </c>
      <c r="AB52" s="13">
        <f t="shared" si="34"/>
        <v>51</v>
      </c>
      <c r="AC52" s="12">
        <f t="shared" si="35"/>
        <v>1014</v>
      </c>
      <c r="AD52" s="20">
        <f t="shared" si="36"/>
        <v>523</v>
      </c>
      <c r="AE52" s="20">
        <f t="shared" si="36"/>
        <v>491</v>
      </c>
      <c r="AF52" s="13">
        <v>32</v>
      </c>
      <c r="AG52" s="13">
        <v>8</v>
      </c>
      <c r="AJ52" s="13">
        <v>39</v>
      </c>
      <c r="AK52" s="13">
        <v>74</v>
      </c>
      <c r="AN52" s="13">
        <v>51</v>
      </c>
      <c r="AO52" s="13">
        <v>5</v>
      </c>
      <c r="AP52" s="13">
        <v>40</v>
      </c>
      <c r="AQ52" s="13">
        <v>5</v>
      </c>
      <c r="AS52" s="13">
        <v>50</v>
      </c>
      <c r="AT52" s="13">
        <v>6</v>
      </c>
      <c r="AU52" s="13">
        <v>55</v>
      </c>
      <c r="AW52" s="2" t="str">
        <f>IFERROR(INDEX(measureables!$A:$J,MATCH($A52,measureables!$A:$A,FALSE),7), "")</f>
        <v>6' 5.75''</v>
      </c>
      <c r="AX52" s="2">
        <f>IFERROR(INDEX(measureables!$A:$J,MATCH($A52,measureables!$A:$A,FALSE),9), "")</f>
        <v>182.4</v>
      </c>
      <c r="AY52" s="2" t="str">
        <f>IFERROR(INDEX(measureables!$A:$J,MATCH($A52,measureables!$A:$A,FALSE),10), "")</f>
        <v>6' 8.75''</v>
      </c>
      <c r="AZ52" s="2" t="str">
        <f>IFERROR(INDEX(measureables!$A:$J,MATCH($A52,measureables!$A:$A,FALSE),8), "")</f>
        <v>8' 7.50''</v>
      </c>
      <c r="BA52" t="str">
        <f t="shared" si="19"/>
        <v xml:space="preserve">  &lt;li&gt;&lt;b&gt;&lt;a 
    target='_blank' href='https://www.nba.com/draft/2022/prospects/dereon-seabron'&gt;Dereon Seabron&lt;/a&gt;&lt;/b&gt;
    - &lt;i&gt;
    &lt;a target='_blank' href='https://www.nbadraft.net/players/dereon-seabron'&gt;SG &lt;/a&gt;&lt;/b&gt;
    - 
    &lt;a target='_blank'href='https://www.sports-reference.com/cbb/players/dereon-seabron-1.html'&gt;NC State&lt;/a&gt;&lt;/b&gt; &lt;/i&gt;&lt;/li&gt;
  &lt;ul style='list-style-type:none'&gt;
    &lt;li&gt;Grade: Sophomore &lt;/li&gt;
    &lt;li&gt;Age: 22.2 &lt;/li&gt;
    &lt;li&gt;Height: 77.75 in &lt;/li&gt;
    &lt;li&gt;Weight: 182.4 lbs &lt;/li&gt;
    &lt;li&gt;Wingspan: 80.75 in &lt;/li&gt;
    &lt;li&gt;Reach: 103.5 in &lt;/li&gt;
    &lt;li&gt;Ape: +3 &lt;/li&gt;
  &lt;/ul&gt;
  &lt;br&gt;</v>
      </c>
    </row>
    <row r="53" spans="1:53" ht="22" customHeight="1" x14ac:dyDescent="0.2">
      <c r="A53" t="s">
        <v>216</v>
      </c>
      <c r="B53" t="s">
        <v>16</v>
      </c>
      <c r="C53" s="3" t="s">
        <v>80</v>
      </c>
      <c r="D53" s="3" t="s">
        <v>19</v>
      </c>
      <c r="E53" s="9">
        <f t="shared" si="25"/>
        <v>19.364818617385353</v>
      </c>
      <c r="F53" s="7">
        <f t="shared" si="26"/>
        <v>77.75</v>
      </c>
      <c r="G53" s="7">
        <f t="shared" si="27"/>
        <v>189.2</v>
      </c>
      <c r="H53" s="7">
        <f t="shared" si="28"/>
        <v>80.75</v>
      </c>
      <c r="I53" s="7">
        <f t="shared" si="29"/>
        <v>102.5</v>
      </c>
      <c r="J53" s="7" t="str">
        <f t="shared" si="30"/>
        <v>+3</v>
      </c>
      <c r="K53" s="9">
        <f t="shared" si="31"/>
        <v>1.1690140845070423</v>
      </c>
      <c r="R53" s="3" t="str">
        <f t="shared" si="17"/>
        <v>HM.</v>
      </c>
      <c r="S53" s="7">
        <f>IFERROR(IF(FLOOR(Q53,1)=FLOOR(Q52,1),S52, MAX(S$5:S52)+1),1)</f>
        <v>6</v>
      </c>
      <c r="T53" s="7">
        <f>IFERROR(INDEX(actual!A:A,MATCH(A53,actual!B:B,FALSE)), "")</f>
        <v>35</v>
      </c>
      <c r="U53" s="7" t="str">
        <f>IFERROR(INDEX(actual!C:C,MATCH(A53,actual!B:B,FALSE)), "")</f>
        <v>LAL</v>
      </c>
      <c r="V53" s="4" t="str">
        <f>HYPERLINK(IF(D53="", "https://www.basketball-reference.com/international", "https://www.sports-reference.com/cbb") &amp; "/players/" &amp; LOWER(SUBSTITUTE(A53, " ", "-") &amp; "-1.html"))</f>
        <v>https://www.sports-reference.com/cbb/players/max-christie-1.html</v>
      </c>
      <c r="W53" s="4" t="str">
        <f>HYPERLINK("https://www.nbadraft.net/players/" &amp; LOWER(SUBSTITUTE(A53, " ", "-") &amp; ""))</f>
        <v>https://www.nbadraft.net/players/max-christie</v>
      </c>
      <c r="X53" s="17" t="str">
        <f t="shared" si="37"/>
        <v>https://www.nba.com/draft/2022/prospects/max-christie</v>
      </c>
      <c r="Y53" s="10">
        <v>37662</v>
      </c>
      <c r="Z53" s="13">
        <f t="shared" si="32"/>
        <v>48</v>
      </c>
      <c r="AA53" s="13">
        <f t="shared" si="33"/>
        <v>47</v>
      </c>
      <c r="AB53" s="13">
        <f t="shared" si="34"/>
        <v>48</v>
      </c>
      <c r="AC53" s="12">
        <f t="shared" si="35"/>
        <v>1029</v>
      </c>
      <c r="AD53" s="20">
        <f t="shared" si="36"/>
        <v>552</v>
      </c>
      <c r="AE53" s="20">
        <f t="shared" si="36"/>
        <v>477</v>
      </c>
      <c r="AF53" s="13">
        <v>47</v>
      </c>
      <c r="AG53" s="13">
        <v>10</v>
      </c>
      <c r="AH53" s="13">
        <v>38</v>
      </c>
      <c r="AJ53" s="13">
        <v>49</v>
      </c>
      <c r="AK53" s="13">
        <v>78</v>
      </c>
      <c r="AP53" s="13">
        <v>41</v>
      </c>
      <c r="AQ53" s="13">
        <v>5</v>
      </c>
      <c r="AS53" s="13">
        <v>27</v>
      </c>
      <c r="AT53" s="13">
        <v>5</v>
      </c>
      <c r="AU53" s="13">
        <v>45</v>
      </c>
      <c r="AV53" s="13">
        <v>17</v>
      </c>
      <c r="AW53" s="2" t="str">
        <f>IFERROR(INDEX(measureables!$A:$J,MATCH($A53,measureables!$A:$A,FALSE),7), "")</f>
        <v>6' 5.75''</v>
      </c>
      <c r="AX53" s="2">
        <f>IFERROR(INDEX(measureables!$A:$J,MATCH($A53,measureables!$A:$A,FALSE),9), "")</f>
        <v>189.2</v>
      </c>
      <c r="AY53" s="2" t="str">
        <f>IFERROR(INDEX(measureables!$A:$J,MATCH($A53,measureables!$A:$A,FALSE),10), "")</f>
        <v>6' 8.75''</v>
      </c>
      <c r="AZ53" s="2" t="str">
        <f>IFERROR(INDEX(measureables!$A:$J,MATCH($A53,measureables!$A:$A,FALSE),8), "")</f>
        <v>8' 6.50''</v>
      </c>
      <c r="BA53" t="str">
        <f t="shared" si="19"/>
        <v xml:space="preserve">  &lt;li&gt;&lt;b&gt;&lt;a 
    target='_blank' href='https://www.nba.com/draft/2022/prospects/max-christie'&gt;Max Christie&lt;/a&gt;&lt;/b&gt;
    - &lt;i&gt;
    &lt;a target='_blank' href='https://www.nbadraft.net/players/max-christie'&gt;SG &lt;/a&gt;&lt;/b&gt;
    - 
    &lt;a target='_blank'href='https://www.sports-reference.com/cbb/players/max-christie-1.html'&gt;Michigan State&lt;/a&gt;&lt;/b&gt; &lt;/i&gt;&lt;/li&gt;
  &lt;ul style='list-style-type:none'&gt;
    &lt;li&gt;Grade: Freshman &lt;/li&gt;
    &lt;li&gt;Age: 19.4 &lt;/li&gt;
    &lt;li&gt;Height: 77.75 in &lt;/li&gt;
    &lt;li&gt;Weight: 189.2 lbs &lt;/li&gt;
    &lt;li&gt;Wingspan: 80.75 in &lt;/li&gt;
    &lt;li&gt;Reach: 102.5 in &lt;/li&gt;
    &lt;li&gt;Ape: +3 &lt;/li&gt;
  &lt;/ul&gt;
  &lt;br&gt;</v>
      </c>
    </row>
    <row r="54" spans="1:53" ht="22" customHeight="1" x14ac:dyDescent="0.2">
      <c r="A54" t="s">
        <v>330</v>
      </c>
      <c r="B54" t="s">
        <v>331</v>
      </c>
      <c r="C54" s="3" t="s">
        <v>332</v>
      </c>
      <c r="E54" s="9">
        <f t="shared" si="25"/>
        <v>21.405849408836339</v>
      </c>
      <c r="F54" s="7">
        <f t="shared" si="26"/>
        <v>76</v>
      </c>
      <c r="G54" s="7">
        <f t="shared" si="27"/>
        <v>185</v>
      </c>
      <c r="H54" s="7" t="str">
        <f t="shared" si="28"/>
        <v/>
      </c>
      <c r="I54" s="7" t="str">
        <f t="shared" si="29"/>
        <v/>
      </c>
      <c r="J54" s="7" t="str">
        <f t="shared" si="30"/>
        <v/>
      </c>
      <c r="K54" s="9" t="str">
        <f t="shared" si="31"/>
        <v/>
      </c>
      <c r="R54" s="3" t="str">
        <f t="shared" si="17"/>
        <v>HM.</v>
      </c>
      <c r="S54" s="7">
        <f>IFERROR(IF(FLOOR(Q54,1)=FLOOR(Q53,1),S53, MAX(S$5:S53)+1),1)</f>
        <v>6</v>
      </c>
      <c r="T54" s="7" t="str">
        <f>IFERROR(INDEX(actual!A:A,MATCH(A54,actual!B:B,FALSE)), "")</f>
        <v/>
      </c>
      <c r="U54" s="7" t="str">
        <f>IFERROR(INDEX(actual!C:C,MATCH(A54,actual!B:B,FALSE)), "")</f>
        <v/>
      </c>
      <c r="V54" s="4" t="str">
        <f>HYPERLINK(IF(D54="", "https://www.basketball-reference.com/international", "https://www.sports-reference.com/cbb") &amp; "/players/" &amp; LOWER(SUBSTITUTE(A54, " ", "-") &amp; "-1.html"))</f>
        <v>https://www.basketball-reference.com/international/players/ziga-samar-1.html</v>
      </c>
      <c r="W54" s="4" t="str">
        <f>HYPERLINK("https://www.nbadraft.net/players/" &amp; LOWER(SUBSTITUTE(A54, " ", "-") &amp; ""))</f>
        <v>https://www.nbadraft.net/players/ziga-samar</v>
      </c>
      <c r="X54" s="17" t="str">
        <f t="shared" si="37"/>
        <v>https://www.nba.com/draft/2022/prospects/ziga-samar</v>
      </c>
      <c r="Y54" s="10">
        <v>36917</v>
      </c>
      <c r="Z54" s="13">
        <f t="shared" si="32"/>
        <v>49</v>
      </c>
      <c r="AA54" s="13">
        <f t="shared" si="33"/>
        <v>58</v>
      </c>
      <c r="AB54" s="13">
        <f t="shared" si="34"/>
        <v>40</v>
      </c>
      <c r="AC54" s="12">
        <f t="shared" si="35"/>
        <v>1049</v>
      </c>
      <c r="AD54" s="20">
        <f t="shared" si="36"/>
        <v>650</v>
      </c>
      <c r="AE54" s="20">
        <f t="shared" si="36"/>
        <v>399</v>
      </c>
      <c r="AF54" s="13">
        <v>38</v>
      </c>
      <c r="AG54" s="13">
        <v>9</v>
      </c>
      <c r="AJ54" s="13">
        <v>23</v>
      </c>
      <c r="AK54" s="13">
        <v>64</v>
      </c>
      <c r="AL54" s="13">
        <v>6</v>
      </c>
      <c r="AS54" s="13">
        <v>58</v>
      </c>
      <c r="AT54" s="13">
        <v>6</v>
      </c>
      <c r="AU54" s="13">
        <v>54</v>
      </c>
      <c r="AW54" s="2" t="str">
        <f>IFERROR(INDEX(measureables!$A:$J,MATCH($A54,measureables!$A:$A,FALSE),7), "")</f>
        <v>6' 4''</v>
      </c>
      <c r="AX54" s="2">
        <f>IFERROR(INDEX(measureables!$A:$J,MATCH($A54,measureables!$A:$A,FALSE),9), "")</f>
        <v>185</v>
      </c>
      <c r="AY54" s="2">
        <f>IFERROR(INDEX(measureables!$A:$J,MATCH($A54,measureables!$A:$A,FALSE),10), "")</f>
        <v>0</v>
      </c>
      <c r="AZ54" s="2">
        <f>IFERROR(INDEX(measureables!$A:$J,MATCH($A54,measureables!$A:$A,FALSE),8), "")</f>
        <v>0</v>
      </c>
      <c r="BA54" t="str">
        <f t="shared" si="19"/>
        <v xml:space="preserve">  &lt;li&gt;&lt;b&gt;&lt;a 
    target='_blank' href='https://www.nba.com/draft/2022/prospects/ziga-samar'&gt;Ziga Samar&lt;/a&gt;&lt;/b&gt;
    - &lt;i&gt;
    &lt;a target='_blank' href='https://www.nbadraft.net/players/ziga-samar'&gt;SG-PG &lt;/a&gt;&lt;/b&gt;
    - 
    &lt;a target='_blank'href='https://www.basketball-reference.com/international/players/ziga-samar-1.html'&gt;Fuenlabrada&lt;/a&gt;&lt;/b&gt; &lt;/i&gt;&lt;/li&gt;
  &lt;ul style='list-style-type:none'&gt;
    &lt;li&gt;Age: 21.4 &lt;/li&gt;
    &lt;li&gt;Height: 76 in &lt;/li&gt;
    &lt;li&gt;Weight: 185 lbs &lt;/li&gt;
  &lt;/ul&gt;
  &lt;br&gt;</v>
      </c>
    </row>
    <row r="55" spans="1:53" ht="22" customHeight="1" x14ac:dyDescent="0.2">
      <c r="A55" t="s">
        <v>198</v>
      </c>
      <c r="B55" t="s">
        <v>51</v>
      </c>
      <c r="C55" s="3" t="s">
        <v>347</v>
      </c>
      <c r="D55" s="3" t="s">
        <v>19</v>
      </c>
      <c r="E55" s="9">
        <f t="shared" si="25"/>
        <v>20.521468574984443</v>
      </c>
      <c r="F55" s="7">
        <f t="shared" si="26"/>
        <v>77</v>
      </c>
      <c r="G55" s="7">
        <f t="shared" si="27"/>
        <v>212.8</v>
      </c>
      <c r="H55" s="7">
        <f t="shared" si="28"/>
        <v>83</v>
      </c>
      <c r="I55" s="7">
        <f t="shared" si="29"/>
        <v>104</v>
      </c>
      <c r="J55" s="7" t="str">
        <f t="shared" si="30"/>
        <v>+6</v>
      </c>
      <c r="K55" s="9">
        <f t="shared" si="31"/>
        <v>1.3529411764705883</v>
      </c>
      <c r="R55" s="3" t="str">
        <f t="shared" si="17"/>
        <v>HM.</v>
      </c>
      <c r="S55" s="7">
        <f>IFERROR(IF(FLOOR(Q55,1)=FLOOR(Q54,1),S54, MAX(S$5:S54)+1),1)</f>
        <v>6</v>
      </c>
      <c r="T55" s="7" t="str">
        <f>IFERROR(INDEX(actual!A:A,MATCH(A55,actual!B:B,FALSE)), "")</f>
        <v/>
      </c>
      <c r="U55" s="7" t="str">
        <f>IFERROR(INDEX(actual!C:C,MATCH(A55,actual!B:B,FALSE)), "")</f>
        <v/>
      </c>
      <c r="V55" s="4" t="str">
        <f>HYPERLINK(IF(D55="", "https://www.basketball-reference.com/international", "https://www.sports-reference.com/cbb") &amp; "/players/" &amp; LOWER(SUBSTITUTE(A55, " ", "-") &amp; "-1.html"))</f>
        <v>https://www.sports-reference.com/cbb/players/aminu-mohammed-1.html</v>
      </c>
      <c r="W55" s="4" t="str">
        <f>HYPERLINK("https://www.nbadraft.net/players/" &amp; LOWER(SUBSTITUTE(A55, " ", "-") &amp; ""))</f>
        <v>https://www.nbadraft.net/players/aminu-mohammed</v>
      </c>
      <c r="X55" s="17" t="str">
        <f t="shared" si="37"/>
        <v>https://www.nba.com/draft/2022/prospects/aminu-mohammed</v>
      </c>
      <c r="Y55" s="10">
        <v>37240</v>
      </c>
      <c r="Z55" s="13">
        <f t="shared" si="32"/>
        <v>49</v>
      </c>
      <c r="AA55" s="13">
        <f t="shared" si="33"/>
        <v>65</v>
      </c>
      <c r="AB55" s="13">
        <f t="shared" si="34"/>
        <v>32</v>
      </c>
      <c r="AC55" s="12">
        <f t="shared" si="35"/>
        <v>1049</v>
      </c>
      <c r="AD55" s="20">
        <f t="shared" si="36"/>
        <v>697</v>
      </c>
      <c r="AE55" s="20">
        <f t="shared" si="36"/>
        <v>352</v>
      </c>
      <c r="AF55" s="13">
        <v>65</v>
      </c>
      <c r="AG55" s="13">
        <v>13</v>
      </c>
      <c r="AH55" s="13">
        <v>48</v>
      </c>
      <c r="AJ55" s="13">
        <v>5</v>
      </c>
      <c r="AK55" s="13">
        <v>45</v>
      </c>
      <c r="AP55" s="13">
        <v>60</v>
      </c>
      <c r="AQ55" s="13">
        <v>6</v>
      </c>
      <c r="AS55" s="13">
        <v>52</v>
      </c>
      <c r="AT55" s="13">
        <v>6</v>
      </c>
      <c r="AU55" s="13">
        <v>73</v>
      </c>
      <c r="AV55" s="13">
        <v>21</v>
      </c>
      <c r="AW55" s="2" t="str">
        <f>IFERROR(INDEX(measureables!$A:$J,MATCH($A55,measureables!$A:$A,FALSE),7), "")</f>
        <v>6' 5.00''</v>
      </c>
      <c r="AX55" s="2">
        <f>IFERROR(INDEX(measureables!$A:$J,MATCH($A55,measureables!$A:$A,FALSE),9), "")</f>
        <v>212.8</v>
      </c>
      <c r="AY55" s="2" t="str">
        <f>IFERROR(INDEX(measureables!$A:$J,MATCH($A55,measureables!$A:$A,FALSE),10), "")</f>
        <v>6' 11.00''</v>
      </c>
      <c r="AZ55" s="2" t="str">
        <f>IFERROR(INDEX(measureables!$A:$J,MATCH($A55,measureables!$A:$A,FALSE),8), "")</f>
        <v>8' 8.00''</v>
      </c>
      <c r="BA55" t="str">
        <f t="shared" si="19"/>
        <v xml:space="preserve">  &lt;li&gt;&lt;b&gt;&lt;a 
    target='_blank' href='https://www.nba.com/draft/2022/prospects/aminu-mohammed'&gt;Aminu Mohammed&lt;/a&gt;&lt;/b&gt;
    - &lt;i&gt;
    &lt;a target='_blank' href='https://www.nbadraft.net/players/aminu-mohammed'&gt;SG-SF &lt;/a&gt;&lt;/b&gt;
    - 
    &lt;a target='_blank'href='https://www.sports-reference.com/cbb/players/aminu-mohammed-1.html'&gt;Georgetown&lt;/a&gt;&lt;/b&gt; &lt;/i&gt;&lt;/li&gt;
  &lt;ul style='list-style-type:none'&gt;
    &lt;li&gt;Grade: Freshman &lt;/li&gt;
    &lt;li&gt;Age: 20.5 &lt;/li&gt;
    &lt;li&gt;Height: 77 in &lt;/li&gt;
    &lt;li&gt;Weight: 212.8 lbs &lt;/li&gt;
    &lt;li&gt;Wingspan: 83 in &lt;/li&gt;
    &lt;li&gt;Reach: 104 in &lt;/li&gt;
    &lt;li&gt;Ape: +6 &lt;/li&gt;
  &lt;/ul&gt;
  &lt;br&gt;</v>
      </c>
    </row>
    <row r="56" spans="1:53" ht="22" customHeight="1" x14ac:dyDescent="0.2">
      <c r="A56" t="s">
        <v>133</v>
      </c>
      <c r="B56" t="s">
        <v>14</v>
      </c>
      <c r="C56" s="3" t="s">
        <v>312</v>
      </c>
      <c r="D56" s="3" t="s">
        <v>19</v>
      </c>
      <c r="E56" s="9">
        <f t="shared" si="25"/>
        <v>19.595436766623209</v>
      </c>
      <c r="F56" s="7">
        <f t="shared" si="26"/>
        <v>82.25</v>
      </c>
      <c r="G56" s="7">
        <f t="shared" si="27"/>
        <v>230.8</v>
      </c>
      <c r="H56" s="7">
        <f t="shared" si="28"/>
        <v>85.75</v>
      </c>
      <c r="I56" s="7">
        <f t="shared" si="29"/>
        <v>110.5</v>
      </c>
      <c r="J56" s="7" t="str">
        <f t="shared" si="30"/>
        <v>+3.5</v>
      </c>
      <c r="K56" s="9">
        <f t="shared" si="31"/>
        <v>1.1573033707865168</v>
      </c>
      <c r="R56" s="3" t="str">
        <f t="shared" si="17"/>
        <v>HM.</v>
      </c>
      <c r="S56" s="7">
        <f>IFERROR(IF(FLOOR(Q56,1)=FLOOR(Q55,1),S55, MAX(S$5:S55)+1),1)</f>
        <v>6</v>
      </c>
      <c r="T56" s="7">
        <f>IFERROR(INDEX(actual!A:A,MATCH(A56,actual!B:B,FALSE)), "")</f>
        <v>28</v>
      </c>
      <c r="U56" s="7" t="str">
        <f>IFERROR(INDEX(actual!C:C,MATCH(A56,actual!B:B,FALSE)), "")</f>
        <v>GSW</v>
      </c>
      <c r="V56" s="16" t="s">
        <v>313</v>
      </c>
      <c r="W56" s="16" t="s">
        <v>314</v>
      </c>
      <c r="X56" s="16" t="s">
        <v>315</v>
      </c>
      <c r="Y56" s="10">
        <v>37578</v>
      </c>
      <c r="Z56" s="13">
        <f t="shared" si="32"/>
        <v>51</v>
      </c>
      <c r="AA56" s="13">
        <f t="shared" si="33"/>
        <v>45</v>
      </c>
      <c r="AB56" s="13">
        <f t="shared" si="34"/>
        <v>60</v>
      </c>
      <c r="AC56" s="12">
        <f t="shared" si="35"/>
        <v>1067</v>
      </c>
      <c r="AD56" s="20">
        <f t="shared" si="36"/>
        <v>546</v>
      </c>
      <c r="AE56" s="20">
        <f t="shared" si="36"/>
        <v>521</v>
      </c>
      <c r="AF56" s="13">
        <v>48</v>
      </c>
      <c r="AG56" s="13">
        <v>10</v>
      </c>
      <c r="AH56" s="13">
        <v>40</v>
      </c>
      <c r="AI56" s="13">
        <v>15</v>
      </c>
      <c r="AJ56" s="13">
        <v>72</v>
      </c>
      <c r="AK56" s="13">
        <v>75</v>
      </c>
      <c r="AN56" s="13">
        <v>65</v>
      </c>
      <c r="AO56" s="13">
        <v>5</v>
      </c>
      <c r="AP56" s="13">
        <v>45</v>
      </c>
      <c r="AQ56" s="13">
        <v>5</v>
      </c>
      <c r="AR56" s="13">
        <v>34</v>
      </c>
      <c r="AS56" s="13">
        <v>43</v>
      </c>
      <c r="AT56" s="13">
        <v>5</v>
      </c>
      <c r="AU56" s="13">
        <v>39</v>
      </c>
      <c r="AV56" s="13">
        <v>5</v>
      </c>
      <c r="AW56" s="2" t="str">
        <f>IFERROR(INDEX(measureables!$A:$J,MATCH($A56,measureables!$A:$A,FALSE),7), "")</f>
        <v>6' 10.25''</v>
      </c>
      <c r="AX56" s="2">
        <f>IFERROR(INDEX(measureables!$A:$J,MATCH($A56,measureables!$A:$A,FALSE),9), "")</f>
        <v>230.8</v>
      </c>
      <c r="AY56" s="2" t="str">
        <f>IFERROR(INDEX(measureables!$A:$J,MATCH($A56,measureables!$A:$A,FALSE),10), "")</f>
        <v>7' 1.75''</v>
      </c>
      <c r="AZ56" s="2" t="str">
        <f>IFERROR(INDEX(measureables!$A:$J,MATCH($A56,measureables!$A:$A,FALSE),8), "")</f>
        <v>9' 2.50''</v>
      </c>
      <c r="BA56" t="str">
        <f t="shared" si="19"/>
        <v xml:space="preserve">  &lt;li&gt;&lt;b&gt;&lt;a 
    target='_blank' href='https://www.nba.com/draft/2022/prospects/patrick-baldwin'&gt;Patrick Baldwin Jr.&lt;/a&gt;&lt;/b&gt;
    - &lt;i&gt;
    &lt;a target='_blank' href='https://www.nbadraft.net/players/patrick-baldwin/'&gt;SF &lt;/a&gt;&lt;/b&gt;
    - 
    &lt;a target='_blank'href='https://www.sports-reference.com/cbb/players/patrick-baldwinjr-1.html'&gt;Milwaukee&lt;/a&gt;&lt;/b&gt; &lt;/i&gt;&lt;/li&gt;
  &lt;ul style='list-style-type:none'&gt;
    &lt;li&gt;Grade: Freshman &lt;/li&gt;
    &lt;li&gt;Age: 19.6 &lt;/li&gt;
    &lt;li&gt;Height: 82.25 in &lt;/li&gt;
    &lt;li&gt;Weight: 230.8 lbs &lt;/li&gt;
    &lt;li&gt;Wingspan: 85.75 in &lt;/li&gt;
    &lt;li&gt;Reach: 110.5 in &lt;/li&gt;
    &lt;li&gt;Ape: +3.5 &lt;/li&gt;
  &lt;/ul&gt;
  &lt;br&gt;</v>
      </c>
    </row>
    <row r="57" spans="1:53" ht="22" customHeight="1" x14ac:dyDescent="0.2">
      <c r="A57" t="s">
        <v>172</v>
      </c>
      <c r="B57" t="s">
        <v>51</v>
      </c>
      <c r="C57" s="3" t="s">
        <v>325</v>
      </c>
      <c r="E57" s="9">
        <f t="shared" si="25"/>
        <v>20.060886571056063</v>
      </c>
      <c r="F57" s="7">
        <f t="shared" si="26"/>
        <v>79.75</v>
      </c>
      <c r="G57" s="7">
        <f t="shared" si="27"/>
        <v>192.8</v>
      </c>
      <c r="H57" s="7">
        <f t="shared" si="28"/>
        <v>80</v>
      </c>
      <c r="I57" s="7">
        <f t="shared" si="29"/>
        <v>106</v>
      </c>
      <c r="J57" s="7" t="str">
        <f t="shared" si="30"/>
        <v>+0.25</v>
      </c>
      <c r="K57" s="9">
        <f t="shared" si="31"/>
        <v>1.0126582278481013</v>
      </c>
      <c r="R57" s="3" t="str">
        <f t="shared" si="17"/>
        <v>HM.</v>
      </c>
      <c r="S57" s="7">
        <f>IFERROR(IF(FLOOR(Q57,1)=FLOOR(Q56,1),S56, MAX(S$5:S56)+1),1)</f>
        <v>6</v>
      </c>
      <c r="T57" s="7">
        <f>IFERROR(INDEX(actual!A:A,MATCH(A57,actual!B:B,FALSE)), "")</f>
        <v>36</v>
      </c>
      <c r="U57" s="7" t="str">
        <f>IFERROR(INDEX(actual!C:C,MATCH(A57,actual!B:B,FALSE)), "")</f>
        <v>DET</v>
      </c>
      <c r="V57" s="4" t="str">
        <f t="shared" ref="V57:V64" si="38">HYPERLINK(IF(D57="", "https://www.basketball-reference.com/international", "https://www.sports-reference.com/cbb") &amp; "/players/" &amp; LOWER(SUBSTITUTE(A57, " ", "-") &amp; "-1.html"))</f>
        <v>https://www.basketball-reference.com/international/players/gabriele-procida-1.html</v>
      </c>
      <c r="W57" s="4" t="str">
        <f t="shared" ref="W57:W64" si="39">HYPERLINK("https://www.nbadraft.net/players/" &amp; LOWER(SUBSTITUTE(A57, " ", "-") &amp; ""))</f>
        <v>https://www.nbadraft.net/players/gabriele-procida</v>
      </c>
      <c r="X57" s="17" t="str">
        <f t="shared" ref="X57:X64" si="40">HYPERLINK("https://www.nba.com/draft/2022/prospects/" &amp; LOWER(SUBSTITUTE(A57, " ", "-") &amp; ""))</f>
        <v>https://www.nba.com/draft/2022/prospects/gabriele-procida</v>
      </c>
      <c r="Y57" s="10">
        <v>37408</v>
      </c>
      <c r="Z57" s="13">
        <f t="shared" si="32"/>
        <v>52</v>
      </c>
      <c r="AA57" s="13">
        <f t="shared" si="33"/>
        <v>43</v>
      </c>
      <c r="AB57" s="13">
        <f t="shared" si="34"/>
        <v>66</v>
      </c>
      <c r="AC57" s="12">
        <f t="shared" si="35"/>
        <v>1084</v>
      </c>
      <c r="AD57" s="20">
        <f t="shared" si="36"/>
        <v>536</v>
      </c>
      <c r="AE57" s="20">
        <f t="shared" si="36"/>
        <v>548</v>
      </c>
      <c r="AF57" s="13">
        <v>33</v>
      </c>
      <c r="AG57" s="13">
        <v>8</v>
      </c>
      <c r="AI57" s="13">
        <v>24</v>
      </c>
      <c r="AJ57" s="13">
        <v>74</v>
      </c>
      <c r="AK57" s="13">
        <v>40</v>
      </c>
      <c r="AL57" s="13">
        <v>38</v>
      </c>
      <c r="AN57" s="13">
        <v>54</v>
      </c>
      <c r="AO57" s="13">
        <v>5</v>
      </c>
      <c r="AP57" s="13">
        <v>53</v>
      </c>
      <c r="AQ57" s="13">
        <v>6</v>
      </c>
      <c r="AS57" s="13">
        <v>32</v>
      </c>
      <c r="AT57" s="13">
        <v>5</v>
      </c>
      <c r="AU57" s="13">
        <v>51</v>
      </c>
      <c r="AW57" s="2" t="str">
        <f>IFERROR(INDEX(measureables!$A:$J,MATCH($A57,measureables!$A:$A,FALSE),7), "")</f>
        <v>6' 7.75''</v>
      </c>
      <c r="AX57" s="2">
        <f>IFERROR(INDEX(measureables!$A:$J,MATCH($A57,measureables!$A:$A,FALSE),9), "")</f>
        <v>192.8</v>
      </c>
      <c r="AY57" s="2" t="str">
        <f>IFERROR(INDEX(measureables!$A:$J,MATCH($A57,measureables!$A:$A,FALSE),10), "")</f>
        <v>6' 8.00''</v>
      </c>
      <c r="AZ57" s="2" t="str">
        <f>IFERROR(INDEX(measureables!$A:$J,MATCH($A57,measureables!$A:$A,FALSE),8), "")</f>
        <v>8' 10.00''</v>
      </c>
      <c r="BA57" t="str">
        <f t="shared" si="19"/>
        <v xml:space="preserve">  &lt;li&gt;&lt;b&gt;&lt;a 
    target='_blank' href='https://www.nba.com/draft/2022/prospects/gabriele-procida'&gt;Gabriele Procida&lt;/a&gt;&lt;/b&gt;
    - &lt;i&gt;
    &lt;a target='_blank' href='https://www.nbadraft.net/players/gabriele-procida'&gt;SG-SF &lt;/a&gt;&lt;/b&gt;
    - 
    &lt;a target='_blank'href='https://www.basketball-reference.com/international/players/gabriele-procida-1.html'&gt;Fortitudo Bologno&lt;/a&gt;&lt;/b&gt; &lt;/i&gt;&lt;/li&gt;
  &lt;ul style='list-style-type:none'&gt;
    &lt;li&gt;Age: 20.1 &lt;/li&gt;
    &lt;li&gt;Height: 79.75 in &lt;/li&gt;
    &lt;li&gt;Weight: 192.8 lbs &lt;/li&gt;
    &lt;li&gt;Wingspan: 80 in &lt;/li&gt;
    &lt;li&gt;Reach: 106 in &lt;/li&gt;
    &lt;li&gt;Ape: +0.25 &lt;/li&gt;
  &lt;/ul&gt;
  &lt;br&gt;</v>
      </c>
    </row>
    <row r="58" spans="1:53" ht="22" customHeight="1" x14ac:dyDescent="0.2">
      <c r="A58" t="s">
        <v>237</v>
      </c>
      <c r="B58" t="s">
        <v>15</v>
      </c>
      <c r="C58" s="3" t="s">
        <v>63</v>
      </c>
      <c r="D58" s="3" t="s">
        <v>73</v>
      </c>
      <c r="E58" s="9">
        <f t="shared" si="25"/>
        <v>22.433281752172363</v>
      </c>
      <c r="F58" s="7">
        <f t="shared" si="26"/>
        <v>76.5</v>
      </c>
      <c r="G58" s="7">
        <f t="shared" si="27"/>
        <v>195.6</v>
      </c>
      <c r="H58" s="7">
        <f t="shared" si="28"/>
        <v>77.75</v>
      </c>
      <c r="I58" s="7">
        <f t="shared" si="29"/>
        <v>99</v>
      </c>
      <c r="J58" s="7" t="str">
        <f t="shared" si="30"/>
        <v>+1.25</v>
      </c>
      <c r="K58" s="9">
        <f t="shared" si="31"/>
        <v>1.0757575757575757</v>
      </c>
      <c r="R58" s="3" t="str">
        <f t="shared" si="17"/>
        <v>HM.</v>
      </c>
      <c r="S58" s="7">
        <f>IFERROR(IF(FLOOR(Q58,1)=FLOOR(Q57,1),S57, MAX(S$5:S57)+1),1)</f>
        <v>6</v>
      </c>
      <c r="T58" s="7">
        <f>IFERROR(INDEX(actual!A:A,MATCH(A58,actual!B:B,FALSE)), "")</f>
        <v>31</v>
      </c>
      <c r="U58" s="7" t="str">
        <f>IFERROR(INDEX(actual!C:C,MATCH(A58,actual!B:B,FALSE)), "")</f>
        <v>IND</v>
      </c>
      <c r="V58" s="4" t="str">
        <f t="shared" si="38"/>
        <v>https://www.sports-reference.com/cbb/players/andrew-nembhard-1.html</v>
      </c>
      <c r="W58" s="4" t="str">
        <f t="shared" si="39"/>
        <v>https://www.nbadraft.net/players/andrew-nembhard</v>
      </c>
      <c r="X58" s="17" t="str">
        <f t="shared" si="40"/>
        <v>https://www.nba.com/draft/2022/prospects/andrew-nembhard</v>
      </c>
      <c r="Y58" s="10">
        <v>36541</v>
      </c>
      <c r="Z58" s="13">
        <f t="shared" si="32"/>
        <v>53</v>
      </c>
      <c r="AA58" s="13">
        <f t="shared" si="33"/>
        <v>46</v>
      </c>
      <c r="AB58" s="13">
        <f t="shared" si="34"/>
        <v>64</v>
      </c>
      <c r="AC58" s="12">
        <f t="shared" si="35"/>
        <v>1093</v>
      </c>
      <c r="AD58" s="20">
        <f t="shared" si="36"/>
        <v>549</v>
      </c>
      <c r="AE58" s="20">
        <f t="shared" si="36"/>
        <v>544</v>
      </c>
      <c r="AF58" s="13">
        <v>54</v>
      </c>
      <c r="AG58" s="13">
        <v>12</v>
      </c>
      <c r="AJ58" s="13">
        <v>59</v>
      </c>
      <c r="AK58" s="13">
        <v>67</v>
      </c>
      <c r="AN58" s="13">
        <v>43</v>
      </c>
      <c r="AO58" s="13">
        <v>4</v>
      </c>
      <c r="AP58" s="13">
        <v>51</v>
      </c>
      <c r="AQ58" s="13">
        <v>5</v>
      </c>
      <c r="AS58" s="13">
        <v>40</v>
      </c>
      <c r="AT58" s="13">
        <v>5</v>
      </c>
      <c r="AU58" s="13">
        <v>35</v>
      </c>
      <c r="AV58" s="13">
        <v>25</v>
      </c>
      <c r="AW58" s="2" t="str">
        <f>IFERROR(INDEX(measureables!$A:$J,MATCH($A58,measureables!$A:$A,FALSE),7), "")</f>
        <v>6' 4.50''</v>
      </c>
      <c r="AX58" s="2">
        <f>IFERROR(INDEX(measureables!$A:$J,MATCH($A58,measureables!$A:$A,FALSE),9), "")</f>
        <v>195.6</v>
      </c>
      <c r="AY58" s="2" t="str">
        <f>IFERROR(INDEX(measureables!$A:$J,MATCH($A58,measureables!$A:$A,FALSE),10), "")</f>
        <v>6' 5.75''</v>
      </c>
      <c r="AZ58" s="2" t="str">
        <f>IFERROR(INDEX(measureables!$A:$J,MATCH($A58,measureables!$A:$A,FALSE),8), "")</f>
        <v>8' 3.00''</v>
      </c>
      <c r="BA58" t="str">
        <f t="shared" si="19"/>
        <v xml:space="preserve">  &lt;li&gt;&lt;b&gt;&lt;a 
    target='_blank' href='https://www.nba.com/draft/2022/prospects/andrew-nembhard'&gt;Andrew Nembhard&lt;/a&gt;&lt;/b&gt;
    - &lt;i&gt;
    &lt;a target='_blank' href='https://www.nbadraft.net/players/andrew-nembhard'&gt;PG &lt;/a&gt;&lt;/b&gt;
    - 
    &lt;a target='_blank'href='https://www.sports-reference.com/cbb/players/andrew-nembhard-1.html'&gt;Gonzaga&lt;/a&gt;&lt;/b&gt; &lt;/i&gt;&lt;/li&gt;
  &lt;ul style='list-style-type:none'&gt;
    &lt;li&gt;Grade: Senior &lt;/li&gt;
    &lt;li&gt;Age: 22.4 &lt;/li&gt;
    &lt;li&gt;Height: 76.5 in &lt;/li&gt;
    &lt;li&gt;Weight: 195.6 lbs &lt;/li&gt;
    &lt;li&gt;Wingspan: 77.75 in &lt;/li&gt;
    &lt;li&gt;Reach: 99 in &lt;/li&gt;
    &lt;li&gt;Ape: +1.25 &lt;/li&gt;
  &lt;/ul&gt;
  &lt;br&gt;</v>
      </c>
    </row>
    <row r="59" spans="1:53" ht="22" customHeight="1" x14ac:dyDescent="0.2">
      <c r="A59" t="s">
        <v>266</v>
      </c>
      <c r="B59" t="s">
        <v>13</v>
      </c>
      <c r="C59" s="3" t="s">
        <v>81</v>
      </c>
      <c r="E59" s="9">
        <f t="shared" si="25"/>
        <v>21.430491599253266</v>
      </c>
      <c r="F59" s="7">
        <f t="shared" si="26"/>
        <v>83</v>
      </c>
      <c r="G59" s="7">
        <f t="shared" si="27"/>
        <v>227</v>
      </c>
      <c r="H59" s="7" t="str">
        <f t="shared" si="28"/>
        <v/>
      </c>
      <c r="I59" s="7" t="str">
        <f t="shared" si="29"/>
        <v/>
      </c>
      <c r="J59" s="7" t="str">
        <f t="shared" si="30"/>
        <v/>
      </c>
      <c r="K59" s="9" t="str">
        <f t="shared" si="31"/>
        <v/>
      </c>
      <c r="R59" s="3" t="str">
        <f t="shared" si="17"/>
        <v>HM.</v>
      </c>
      <c r="S59" s="7">
        <f>IFERROR(IF(FLOOR(Q59,1)=FLOOR(Q58,1),S58, MAX(S$5:S58)+1),1)</f>
        <v>6</v>
      </c>
      <c r="T59" s="7">
        <f>IFERROR(INDEX(actual!A:A,MATCH(A59,actual!B:B,FALSE)), "")</f>
        <v>46</v>
      </c>
      <c r="U59" s="7" t="str">
        <f>IFERROR(INDEX(actual!C:C,MATCH(A59,actual!B:B,FALSE)), "")</f>
        <v>DEN</v>
      </c>
      <c r="V59" s="4" t="str">
        <f t="shared" si="38"/>
        <v>https://www.basketball-reference.com/international/players/ismael-kamagate-1.html</v>
      </c>
      <c r="W59" s="4" t="str">
        <f t="shared" si="39"/>
        <v>https://www.nbadraft.net/players/ismael-kamagate</v>
      </c>
      <c r="X59" s="17" t="str">
        <f t="shared" si="40"/>
        <v>https://www.nba.com/draft/2022/prospects/ismael-kamagate</v>
      </c>
      <c r="Y59" s="10">
        <v>36908</v>
      </c>
      <c r="Z59" s="13">
        <f t="shared" si="32"/>
        <v>54</v>
      </c>
      <c r="AA59" s="13">
        <f t="shared" si="33"/>
        <v>54</v>
      </c>
      <c r="AB59" s="13">
        <f t="shared" si="34"/>
        <v>57</v>
      </c>
      <c r="AC59" s="12">
        <f t="shared" si="35"/>
        <v>1129</v>
      </c>
      <c r="AD59" s="20">
        <f t="shared" si="36"/>
        <v>621</v>
      </c>
      <c r="AE59" s="20">
        <f t="shared" si="36"/>
        <v>508</v>
      </c>
      <c r="AF59" s="13">
        <v>50</v>
      </c>
      <c r="AG59" s="13">
        <v>11</v>
      </c>
      <c r="AJ59" s="13">
        <v>54</v>
      </c>
      <c r="AK59" s="13">
        <v>50</v>
      </c>
      <c r="AL59" s="13">
        <v>36</v>
      </c>
      <c r="AP59" s="13">
        <v>66</v>
      </c>
      <c r="AQ59" s="13">
        <v>6</v>
      </c>
      <c r="AS59" s="13">
        <v>29</v>
      </c>
      <c r="AT59" s="13">
        <v>5</v>
      </c>
      <c r="AU59" s="13">
        <v>42</v>
      </c>
      <c r="AW59" s="2" t="str">
        <f>IFERROR(INDEX(measureables!$A:$J,MATCH($A59,measureables!$A:$A,FALSE),7), "")</f>
        <v>6' 11''</v>
      </c>
      <c r="AX59" s="2">
        <f>IFERROR(INDEX(measureables!$A:$J,MATCH($A59,measureables!$A:$A,FALSE),9), "")</f>
        <v>227</v>
      </c>
      <c r="AY59" s="2">
        <f>IFERROR(INDEX(measureables!$A:$J,MATCH($A59,measureables!$A:$A,FALSE),10), "")</f>
        <v>0</v>
      </c>
      <c r="AZ59" s="2">
        <f>IFERROR(INDEX(measureables!$A:$J,MATCH($A59,measureables!$A:$A,FALSE),8), "")</f>
        <v>0</v>
      </c>
      <c r="BA59" t="str">
        <f t="shared" si="19"/>
        <v xml:space="preserve">  &lt;li&gt;&lt;b&gt;&lt;a 
    target='_blank' href='https://www.nba.com/draft/2022/prospects/ismael-kamagate'&gt;Ismael Kamagate&lt;/a&gt;&lt;/b&gt;
    - &lt;i&gt;
    &lt;a target='_blank' href='https://www.nbadraft.net/players/ismael-kamagate'&gt;PF &lt;/a&gt;&lt;/b&gt;
    - 
    &lt;a target='_blank'href='https://www.basketball-reference.com/international/players/ismael-kamagate-1.html'&gt;Paris Basketball&lt;/a&gt;&lt;/b&gt; &lt;/i&gt;&lt;/li&gt;
  &lt;ul style='list-style-type:none'&gt;
    &lt;li&gt;Age: 21.4 &lt;/li&gt;
    &lt;li&gt;Height: 83 in &lt;/li&gt;
    &lt;li&gt;Weight: 227 lbs &lt;/li&gt;
  &lt;/ul&gt;
  &lt;br&gt;</v>
      </c>
    </row>
    <row r="60" spans="1:53" ht="22" customHeight="1" x14ac:dyDescent="0.2">
      <c r="A60" t="s">
        <v>220</v>
      </c>
      <c r="B60" t="s">
        <v>15</v>
      </c>
      <c r="C60" s="3" t="s">
        <v>341</v>
      </c>
      <c r="E60" s="9">
        <f t="shared" si="25"/>
        <v>19.449691991786448</v>
      </c>
      <c r="F60" s="7">
        <f t="shared" si="26"/>
        <v>77.5</v>
      </c>
      <c r="G60" s="7">
        <f t="shared" si="27"/>
        <v>196.2</v>
      </c>
      <c r="H60" s="7">
        <f t="shared" si="28"/>
        <v>80</v>
      </c>
      <c r="I60" s="7">
        <f t="shared" si="29"/>
        <v>102</v>
      </c>
      <c r="J60" s="7" t="str">
        <f t="shared" si="30"/>
        <v>+2.5</v>
      </c>
      <c r="K60" s="9">
        <f t="shared" si="31"/>
        <v>1.1428571428571428</v>
      </c>
      <c r="R60" s="3" t="str">
        <f t="shared" si="17"/>
        <v>HM.</v>
      </c>
      <c r="S60" s="7">
        <f>IFERROR(IF(FLOOR(Q60,1)=FLOOR(Q59,1),S59, MAX(S$5:S59)+1),1)</f>
        <v>6</v>
      </c>
      <c r="T60" s="7">
        <f>IFERROR(INDEX(actual!A:A,MATCH(A60,actual!B:B,FALSE)), "")</f>
        <v>50</v>
      </c>
      <c r="U60" s="7" t="str">
        <f>IFERROR(INDEX(actual!C:C,MATCH(A60,actual!B:B,FALSE)), "")</f>
        <v>MIN</v>
      </c>
      <c r="V60" s="4" t="str">
        <f t="shared" si="38"/>
        <v>https://www.basketball-reference.com/international/players/matteo-spagnolo-1.html</v>
      </c>
      <c r="W60" s="4" t="str">
        <f t="shared" si="39"/>
        <v>https://www.nbadraft.net/players/matteo-spagnolo</v>
      </c>
      <c r="X60" s="17" t="str">
        <f t="shared" si="40"/>
        <v>https://www.nba.com/draft/2022/prospects/matteo-spagnolo</v>
      </c>
      <c r="Y60" s="10">
        <v>37631</v>
      </c>
      <c r="Z60" s="13">
        <f t="shared" si="32"/>
        <v>55</v>
      </c>
      <c r="AA60" s="13">
        <f t="shared" si="33"/>
        <v>59</v>
      </c>
      <c r="AB60" s="13">
        <f t="shared" si="34"/>
        <v>49</v>
      </c>
      <c r="AC60" s="12">
        <f t="shared" si="35"/>
        <v>1136</v>
      </c>
      <c r="AD60" s="20">
        <f t="shared" si="36"/>
        <v>657</v>
      </c>
      <c r="AE60" s="20">
        <f t="shared" si="36"/>
        <v>479</v>
      </c>
      <c r="AF60" s="13">
        <v>58</v>
      </c>
      <c r="AG60" s="13">
        <v>12</v>
      </c>
      <c r="AH60" s="13">
        <v>42</v>
      </c>
      <c r="AJ60" s="13">
        <v>53</v>
      </c>
      <c r="AK60" s="13">
        <v>61</v>
      </c>
      <c r="AL60" s="13">
        <v>31</v>
      </c>
      <c r="AN60" s="13">
        <v>55</v>
      </c>
      <c r="AO60" s="13">
        <v>5</v>
      </c>
      <c r="AS60" s="13">
        <v>38</v>
      </c>
      <c r="AT60" s="13">
        <v>5</v>
      </c>
      <c r="AU60" s="13">
        <v>60</v>
      </c>
      <c r="AW60" s="2" t="str">
        <f>IFERROR(INDEX(measureables!$A:$J,MATCH($A60,measureables!$A:$A,FALSE),7), "")</f>
        <v>6' 5.50''</v>
      </c>
      <c r="AX60" s="2">
        <f>IFERROR(INDEX(measureables!$A:$J,MATCH($A60,measureables!$A:$A,FALSE),9), "")</f>
        <v>196.2</v>
      </c>
      <c r="AY60" s="2" t="str">
        <f>IFERROR(INDEX(measureables!$A:$J,MATCH($A60,measureables!$A:$A,FALSE),10), "")</f>
        <v>6' 8.00''</v>
      </c>
      <c r="AZ60" s="2" t="str">
        <f>IFERROR(INDEX(measureables!$A:$J,MATCH($A60,measureables!$A:$A,FALSE),8), "")</f>
        <v>8' 6.00''</v>
      </c>
      <c r="BA60" t="str">
        <f t="shared" si="19"/>
        <v xml:space="preserve">  &lt;li&gt;&lt;b&gt;&lt;a 
    target='_blank' href='https://www.nba.com/draft/2022/prospects/matteo-spagnolo'&gt;Matteo Spagnolo&lt;/a&gt;&lt;/b&gt;
    - &lt;i&gt;
    &lt;a target='_blank' href='https://www.nbadraft.net/players/matteo-spagnolo'&gt;PG &lt;/a&gt;&lt;/b&gt;
    - 
    &lt;a target='_blank'href='https://www.basketball-reference.com/international/players/matteo-spagnolo-1.html'&gt;Vanoli Cremona&lt;/a&gt;&lt;/b&gt; &lt;/i&gt;&lt;/li&gt;
  &lt;ul style='list-style-type:none'&gt;
    &lt;li&gt;Age: 19.4 &lt;/li&gt;
    &lt;li&gt;Height: 77.5 in &lt;/li&gt;
    &lt;li&gt;Weight: 196.2 lbs &lt;/li&gt;
    &lt;li&gt;Wingspan: 80 in &lt;/li&gt;
    &lt;li&gt;Reach: 102 in &lt;/li&gt;
    &lt;li&gt;Ape: +2.5 &lt;/li&gt;
  &lt;/ul&gt;
  &lt;br&gt;</v>
      </c>
    </row>
    <row r="61" spans="1:53" ht="22" customHeight="1" x14ac:dyDescent="0.2">
      <c r="A61" t="s">
        <v>239</v>
      </c>
      <c r="B61" t="s">
        <v>15</v>
      </c>
      <c r="C61" s="3" t="s">
        <v>317</v>
      </c>
      <c r="E61" s="9">
        <f t="shared" si="25"/>
        <v>18.973305954825463</v>
      </c>
      <c r="F61" s="7">
        <f t="shared" si="26"/>
        <v>74.25</v>
      </c>
      <c r="G61" s="7">
        <f t="shared" si="27"/>
        <v>171.8</v>
      </c>
      <c r="H61" s="7">
        <f t="shared" si="28"/>
        <v>77.25</v>
      </c>
      <c r="I61" s="7">
        <f t="shared" si="29"/>
        <v>98.5</v>
      </c>
      <c r="J61" s="7" t="str">
        <f t="shared" si="30"/>
        <v>+3</v>
      </c>
      <c r="K61" s="9">
        <f t="shared" si="31"/>
        <v>1.2105263157894737</v>
      </c>
      <c r="R61" s="3" t="str">
        <f t="shared" si="17"/>
        <v>HM.</v>
      </c>
      <c r="S61" s="7">
        <f>IFERROR(IF(FLOOR(Q61,1)=FLOOR(Q60,1),S60, MAX(S$5:S60)+1),1)</f>
        <v>6</v>
      </c>
      <c r="T61" s="7" t="str">
        <f>IFERROR(INDEX(actual!A:A,MATCH(A61,actual!B:B,FALSE)), "")</f>
        <v/>
      </c>
      <c r="U61" s="7" t="str">
        <f>IFERROR(INDEX(actual!C:C,MATCH(A61,actual!B:B,FALSE)), "")</f>
        <v/>
      </c>
      <c r="V61" s="4" t="str">
        <f t="shared" si="38"/>
        <v>https://www.basketball-reference.com/international/players/jean-montero-1.html</v>
      </c>
      <c r="W61" s="4" t="str">
        <f t="shared" si="39"/>
        <v>https://www.nbadraft.net/players/jean-montero</v>
      </c>
      <c r="X61" s="17" t="str">
        <f t="shared" si="40"/>
        <v>https://www.nba.com/draft/2022/prospects/jean-montero</v>
      </c>
      <c r="Y61" s="10">
        <v>37805</v>
      </c>
      <c r="Z61" s="13">
        <f t="shared" si="32"/>
        <v>56</v>
      </c>
      <c r="AA61" s="13">
        <f t="shared" si="33"/>
        <v>49</v>
      </c>
      <c r="AB61" s="13">
        <f t="shared" si="34"/>
        <v>69</v>
      </c>
      <c r="AC61" s="12">
        <f t="shared" si="35"/>
        <v>1148</v>
      </c>
      <c r="AD61" s="20">
        <f t="shared" si="36"/>
        <v>577</v>
      </c>
      <c r="AE61" s="20">
        <f t="shared" si="36"/>
        <v>571</v>
      </c>
      <c r="AF61" s="13">
        <v>43</v>
      </c>
      <c r="AG61" s="13">
        <v>10</v>
      </c>
      <c r="AH61" s="13">
        <v>17</v>
      </c>
      <c r="AN61" s="13">
        <v>48</v>
      </c>
      <c r="AO61" s="13">
        <v>5</v>
      </c>
      <c r="AP61" s="13">
        <v>55</v>
      </c>
      <c r="AQ61" s="13">
        <v>6</v>
      </c>
      <c r="AR61" s="13">
        <v>36</v>
      </c>
      <c r="AS61" s="13">
        <v>56</v>
      </c>
      <c r="AT61" s="13">
        <v>6</v>
      </c>
      <c r="AU61" s="13">
        <v>52</v>
      </c>
      <c r="AW61" s="2" t="str">
        <f>IFERROR(INDEX(measureables!$A:$J,MATCH($A61,measureables!$A:$A,FALSE),7), "")</f>
        <v>6' 2.25''</v>
      </c>
      <c r="AX61" s="2">
        <f>IFERROR(INDEX(measureables!$A:$J,MATCH($A61,measureables!$A:$A,FALSE),9), "")</f>
        <v>171.8</v>
      </c>
      <c r="AY61" s="2" t="str">
        <f>IFERROR(INDEX(measureables!$A:$J,MATCH($A61,measureables!$A:$A,FALSE),10), "")</f>
        <v>6' 5.25''</v>
      </c>
      <c r="AZ61" s="2" t="str">
        <f>IFERROR(INDEX(measureables!$A:$J,MATCH($A61,measureables!$A:$A,FALSE),8), "")</f>
        <v>8' 2.50''</v>
      </c>
      <c r="BA61" t="str">
        <f t="shared" si="19"/>
        <v xml:space="preserve">  &lt;li&gt;&lt;b&gt;&lt;a 
    target='_blank' href='https://www.nba.com/draft/2022/prospects/jean-montero'&gt;Jean Montero&lt;/a&gt;&lt;/b&gt;
    - &lt;i&gt;
    &lt;a target='_blank' href='https://www.nbadraft.net/players/jean-montero'&gt;PG &lt;/a&gt;&lt;/b&gt;
    - 
    &lt;a target='_blank'href='https://www.basketball-reference.com/international/players/jean-montero-1.html'&gt;Overtime Elite&lt;/a&gt;&lt;/b&gt; &lt;/i&gt;&lt;/li&gt;
  &lt;ul style='list-style-type:none'&gt;
    &lt;li&gt;Age: 19 &lt;/li&gt;
    &lt;li&gt;Height: 74.25 in &lt;/li&gt;
    &lt;li&gt;Weight: 171.8 lbs &lt;/li&gt;
    &lt;li&gt;Wingspan: 77.25 in &lt;/li&gt;
    &lt;li&gt;Reach: 98.5 in &lt;/li&gt;
    &lt;li&gt;Ape: +3 &lt;/li&gt;
  &lt;/ul&gt;
  &lt;br&gt;</v>
      </c>
    </row>
    <row r="62" spans="1:53" ht="22" customHeight="1" x14ac:dyDescent="0.2">
      <c r="A62" t="s">
        <v>128</v>
      </c>
      <c r="B62" t="s">
        <v>12</v>
      </c>
      <c r="C62" s="3" t="s">
        <v>366</v>
      </c>
      <c r="D62" s="3" t="s">
        <v>72</v>
      </c>
      <c r="E62" s="9">
        <f t="shared" si="25"/>
        <v>21.951434353053209</v>
      </c>
      <c r="F62" s="7">
        <f t="shared" si="26"/>
        <v>83</v>
      </c>
      <c r="G62" s="7">
        <f t="shared" si="27"/>
        <v>244.4</v>
      </c>
      <c r="H62" s="7">
        <f t="shared" si="28"/>
        <v>88</v>
      </c>
      <c r="I62" s="7">
        <f t="shared" si="29"/>
        <v>111</v>
      </c>
      <c r="J62" s="7" t="str">
        <f t="shared" si="30"/>
        <v>+5</v>
      </c>
      <c r="K62" s="9">
        <f t="shared" si="31"/>
        <v>1.2173913043478262</v>
      </c>
      <c r="R62" s="3" t="str">
        <f t="shared" si="17"/>
        <v>HM.</v>
      </c>
      <c r="S62" s="7">
        <f>IFERROR(IF(FLOOR(Q62,1)=FLOOR(Q61,1),S61, MAX(S$5:S61)+1),1)</f>
        <v>6</v>
      </c>
      <c r="T62" s="7" t="str">
        <f>IFERROR(INDEX(actual!A:A,MATCH(A62,actual!B:B,FALSE)), "")</f>
        <v/>
      </c>
      <c r="U62" s="7" t="str">
        <f>IFERROR(INDEX(actual!C:C,MATCH(A62,actual!B:B,FALSE)), "")</f>
        <v/>
      </c>
      <c r="V62" s="4" t="str">
        <f t="shared" si="38"/>
        <v>https://www.sports-reference.com/cbb/players/orlando-robinson-1.html</v>
      </c>
      <c r="W62" s="4" t="str">
        <f t="shared" si="39"/>
        <v>https://www.nbadraft.net/players/orlando-robinson</v>
      </c>
      <c r="X62" s="17" t="str">
        <f t="shared" si="40"/>
        <v>https://www.nba.com/draft/2022/prospects/orlando-robinson</v>
      </c>
      <c r="Y62" s="10">
        <v>36717</v>
      </c>
      <c r="Z62" s="13">
        <f t="shared" si="32"/>
        <v>57</v>
      </c>
      <c r="AA62" s="13">
        <f t="shared" si="33"/>
        <v>70</v>
      </c>
      <c r="AB62" s="13">
        <f t="shared" si="34"/>
        <v>45</v>
      </c>
      <c r="AC62" s="12">
        <f t="shared" si="35"/>
        <v>1149</v>
      </c>
      <c r="AD62" s="20">
        <f t="shared" si="36"/>
        <v>715</v>
      </c>
      <c r="AE62" s="20">
        <f t="shared" si="36"/>
        <v>434</v>
      </c>
      <c r="AF62" s="13">
        <v>74</v>
      </c>
      <c r="AG62" s="13">
        <v>13</v>
      </c>
      <c r="AH62" s="13">
        <v>50</v>
      </c>
      <c r="AJ62" s="13">
        <v>30</v>
      </c>
      <c r="AK62" s="13">
        <v>44</v>
      </c>
      <c r="AN62" s="13">
        <v>53</v>
      </c>
      <c r="AO62" s="13">
        <v>5</v>
      </c>
      <c r="AP62" s="13">
        <v>61</v>
      </c>
      <c r="AQ62" s="13">
        <v>6</v>
      </c>
      <c r="AS62" s="13">
        <v>74</v>
      </c>
      <c r="AT62" s="13">
        <v>6</v>
      </c>
      <c r="AU62" s="13">
        <v>75</v>
      </c>
      <c r="AW62" s="2" t="str">
        <f>IFERROR(INDEX(measureables!$A:$J,MATCH($A62,measureables!$A:$A,FALSE),7), "")</f>
        <v>6' 11.00''</v>
      </c>
      <c r="AX62" s="2">
        <f>IFERROR(INDEX(measureables!$A:$J,MATCH($A62,measureables!$A:$A,FALSE),9), "")</f>
        <v>244.4</v>
      </c>
      <c r="AY62" s="2" t="str">
        <f>IFERROR(INDEX(measureables!$A:$J,MATCH($A62,measureables!$A:$A,FALSE),10), "")</f>
        <v>7' 4.00''</v>
      </c>
      <c r="AZ62" s="2" t="str">
        <f>IFERROR(INDEX(measureables!$A:$J,MATCH($A62,measureables!$A:$A,FALSE),8), "")</f>
        <v>9' 3.00''</v>
      </c>
      <c r="BA62" t="str">
        <f t="shared" si="19"/>
        <v xml:space="preserve">  &lt;li&gt;&lt;b&gt;&lt;a 
    target='_blank' href='https://www.nba.com/draft/2022/prospects/orlando-robinson'&gt;Orlando Robinson&lt;/a&gt;&lt;/b&gt;
    - &lt;i&gt;
    &lt;a target='_blank' href='https://www.nbadraft.net/players/orlando-robinson'&gt;C &lt;/a&gt;&lt;/b&gt;
    - 
    &lt;a target='_blank'href='https://www.sports-reference.com/cbb/players/orlando-robinson-1.html'&gt;Fresno State&lt;/a&gt;&lt;/b&gt; &lt;/i&gt;&lt;/li&gt;
  &lt;ul style='list-style-type:none'&gt;
    &lt;li&gt;Grade: Junior &lt;/li&gt;
    &lt;li&gt;Age: 22 &lt;/li&gt;
    &lt;li&gt;Height: 83 in &lt;/li&gt;
    &lt;li&gt;Weight: 244.4 lbs &lt;/li&gt;
    &lt;li&gt;Wingspan: 88 in &lt;/li&gt;
    &lt;li&gt;Reach: 111 in &lt;/li&gt;
    &lt;li&gt;Ape: +5 &lt;/li&gt;
  &lt;/ul&gt;
  &lt;br&gt;</v>
      </c>
    </row>
    <row r="63" spans="1:53" ht="22" customHeight="1" x14ac:dyDescent="0.2">
      <c r="A63" t="s">
        <v>372</v>
      </c>
      <c r="B63" t="s">
        <v>14</v>
      </c>
      <c r="C63" s="3" t="s">
        <v>502</v>
      </c>
      <c r="E63" s="9">
        <f t="shared" si="25"/>
        <v>20.003389830508475</v>
      </c>
      <c r="F63" s="7" t="str">
        <f t="shared" si="26"/>
        <v/>
      </c>
      <c r="G63" s="7" t="str">
        <f t="shared" si="27"/>
        <v/>
      </c>
      <c r="H63" s="7" t="str">
        <f t="shared" si="28"/>
        <v/>
      </c>
      <c r="I63" s="7" t="str">
        <f t="shared" si="29"/>
        <v/>
      </c>
      <c r="J63" s="7" t="str">
        <f t="shared" si="30"/>
        <v/>
      </c>
      <c r="K63" s="9" t="str">
        <f t="shared" si="31"/>
        <v/>
      </c>
      <c r="R63" s="3" t="str">
        <f t="shared" si="17"/>
        <v>HM.</v>
      </c>
      <c r="S63" s="7">
        <f>IFERROR(IF(FLOOR(Q63,1)=FLOOR(Q62,1),S62, MAX(S$5:S62)+1),1)</f>
        <v>6</v>
      </c>
      <c r="T63" s="7">
        <f>IFERROR(INDEX(actual!A:A,MATCH(A63,actual!B:B,FALSE)), "")</f>
        <v>55</v>
      </c>
      <c r="U63" s="7" t="str">
        <f>IFERROR(INDEX(actual!C:C,MATCH(A63,actual!B:B,FALSE)), "")</f>
        <v>GSW</v>
      </c>
      <c r="V63" s="4" t="str">
        <f t="shared" si="38"/>
        <v>https://www.basketball-reference.com/international/players/gui-santos-1.html</v>
      </c>
      <c r="W63" s="4" t="str">
        <f t="shared" si="39"/>
        <v>https://www.nbadraft.net/players/gui-santos</v>
      </c>
      <c r="X63" s="17" t="str">
        <f t="shared" si="40"/>
        <v>https://www.nba.com/draft/2022/prospects/gui-santos</v>
      </c>
      <c r="Y63" s="10">
        <v>37429</v>
      </c>
      <c r="Z63" s="13">
        <f t="shared" si="32"/>
        <v>58</v>
      </c>
      <c r="AA63" s="13">
        <f t="shared" si="33"/>
        <v>83</v>
      </c>
      <c r="AB63" s="13">
        <f t="shared" si="34"/>
        <v>35</v>
      </c>
      <c r="AC63" s="12">
        <f t="shared" si="35"/>
        <v>1155</v>
      </c>
      <c r="AD63" s="20">
        <f t="shared" si="36"/>
        <v>775</v>
      </c>
      <c r="AE63" s="20">
        <f t="shared" si="36"/>
        <v>380</v>
      </c>
      <c r="AH63" s="13">
        <v>18</v>
      </c>
      <c r="AJ63" s="13">
        <v>36</v>
      </c>
      <c r="AS63" s="13">
        <v>75</v>
      </c>
      <c r="AT63" s="13">
        <v>6</v>
      </c>
      <c r="AU63" s="13">
        <v>74</v>
      </c>
      <c r="AW63" s="2" t="str">
        <f>IFERROR(INDEX(measureables!$A:$J,MATCH($A63,measureables!$A:$A,FALSE),7), "")</f>
        <v/>
      </c>
      <c r="AX63" s="2" t="str">
        <f>IFERROR(INDEX(measureables!$A:$J,MATCH($A63,measureables!$A:$A,FALSE),9), "")</f>
        <v/>
      </c>
      <c r="AY63" s="2" t="str">
        <f>IFERROR(INDEX(measureables!$A:$J,MATCH($A63,measureables!$A:$A,FALSE),10), "")</f>
        <v/>
      </c>
      <c r="AZ63" s="2" t="str">
        <f>IFERROR(INDEX(measureables!$A:$J,MATCH($A63,measureables!$A:$A,FALSE),8), "")</f>
        <v/>
      </c>
      <c r="BA63" t="str">
        <f t="shared" si="19"/>
        <v xml:space="preserve">  &lt;li&gt;&lt;b&gt;&lt;a 
    target='_blank' href='https://www.nba.com/draft/2022/prospects/gui-santos'&gt;Gui Santos&lt;/a&gt;&lt;/b&gt;
    - &lt;i&gt;
    &lt;a target='_blank' href='https://www.nbadraft.net/players/gui-santos'&gt;SF &lt;/a&gt;&lt;/b&gt;
    - 
    &lt;a target='_blank'href='https://www.basketball-reference.com/international/players/gui-santos-1.html'&gt;Minas&lt;/a&gt;&lt;/b&gt; &lt;/i&gt;&lt;/li&gt;
  &lt;ul style='list-style-type:none'&gt;
    &lt;li&gt;Age: 20 &lt;/li&gt;
  &lt;/ul&gt;
  &lt;br&gt;</v>
      </c>
    </row>
    <row r="64" spans="1:53" ht="22" customHeight="1" x14ac:dyDescent="0.2">
      <c r="A64" t="s">
        <v>152</v>
      </c>
      <c r="B64" t="s">
        <v>12</v>
      </c>
      <c r="C64" s="3" t="s">
        <v>283</v>
      </c>
      <c r="D64" s="3" t="s">
        <v>73</v>
      </c>
      <c r="E64" s="9">
        <f t="shared" si="25"/>
        <v>21.765266039757172</v>
      </c>
      <c r="F64" s="7">
        <f t="shared" si="26"/>
        <v>80.75</v>
      </c>
      <c r="G64" s="7">
        <f t="shared" si="27"/>
        <v>264.60000000000002</v>
      </c>
      <c r="H64" s="7">
        <f t="shared" si="28"/>
        <v>86.75</v>
      </c>
      <c r="I64" s="7">
        <f t="shared" si="29"/>
        <v>108.5</v>
      </c>
      <c r="J64" s="7" t="str">
        <f t="shared" si="30"/>
        <v>+6</v>
      </c>
      <c r="K64" s="9">
        <f t="shared" si="31"/>
        <v>1.2891566265060241</v>
      </c>
      <c r="R64" s="3" t="str">
        <f t="shared" si="17"/>
        <v>HM.</v>
      </c>
      <c r="S64" s="7">
        <f>IFERROR(IF(FLOOR(Q64,1)=FLOOR(Q63,1),S63, MAX(S$5:S63)+1),1)</f>
        <v>6</v>
      </c>
      <c r="T64" s="7" t="str">
        <f>IFERROR(INDEX(actual!A:A,MATCH(A64,actual!B:B,FALSE)), "")</f>
        <v/>
      </c>
      <c r="U64" s="7" t="str">
        <f>IFERROR(INDEX(actual!C:C,MATCH(A64,actual!B:B,FALSE)), "")</f>
        <v/>
      </c>
      <c r="V64" s="4" t="str">
        <f t="shared" si="38"/>
        <v>https://www.sports-reference.com/cbb/players/trevion-williams-1.html</v>
      </c>
      <c r="W64" s="4" t="str">
        <f t="shared" si="39"/>
        <v>https://www.nbadraft.net/players/trevion-williams</v>
      </c>
      <c r="X64" s="17" t="str">
        <f t="shared" si="40"/>
        <v>https://www.nba.com/draft/2022/prospects/trevion-williams</v>
      </c>
      <c r="Y64" s="10">
        <v>36785</v>
      </c>
      <c r="Z64" s="13">
        <f t="shared" si="32"/>
        <v>59</v>
      </c>
      <c r="AA64" s="13">
        <f t="shared" si="33"/>
        <v>60</v>
      </c>
      <c r="AB64" s="13">
        <f t="shared" si="34"/>
        <v>55</v>
      </c>
      <c r="AC64" s="12">
        <f t="shared" si="35"/>
        <v>1166</v>
      </c>
      <c r="AD64" s="20">
        <f t="shared" si="36"/>
        <v>663</v>
      </c>
      <c r="AE64" s="20">
        <f t="shared" si="36"/>
        <v>503</v>
      </c>
      <c r="AH64" s="13">
        <v>49</v>
      </c>
      <c r="AJ64" s="13">
        <v>58</v>
      </c>
      <c r="AK64" s="13">
        <v>33</v>
      </c>
      <c r="AN64" s="13">
        <v>49</v>
      </c>
      <c r="AO64" s="13">
        <v>5</v>
      </c>
      <c r="AP64" s="13">
        <v>58</v>
      </c>
      <c r="AQ64" s="13">
        <v>6</v>
      </c>
      <c r="AS64" s="13">
        <v>51</v>
      </c>
      <c r="AT64" s="13">
        <v>6</v>
      </c>
      <c r="AU64" s="13">
        <v>56</v>
      </c>
      <c r="AW64" s="2" t="str">
        <f>IFERROR(INDEX(measureables!$A:$J,MATCH($A64,measureables!$A:$A,FALSE),7), "")</f>
        <v>6' 8.75''</v>
      </c>
      <c r="AX64" s="2">
        <f>IFERROR(INDEX(measureables!$A:$J,MATCH($A64,measureables!$A:$A,FALSE),9), "")</f>
        <v>264.60000000000002</v>
      </c>
      <c r="AY64" s="2" t="str">
        <f>IFERROR(INDEX(measureables!$A:$J,MATCH($A64,measureables!$A:$A,FALSE),10), "")</f>
        <v>7' 2.75''</v>
      </c>
      <c r="AZ64" s="2" t="str">
        <f>IFERROR(INDEX(measureables!$A:$J,MATCH($A64,measureables!$A:$A,FALSE),8), "")</f>
        <v>9' 0.50''</v>
      </c>
      <c r="BA64" t="str">
        <f t="shared" si="19"/>
        <v xml:space="preserve">  &lt;li&gt;&lt;b&gt;&lt;a 
    target='_blank' href='https://www.nba.com/draft/2022/prospects/trevion-williams'&gt;Trevion Williams&lt;/a&gt;&lt;/b&gt;
    - &lt;i&gt;
    &lt;a target='_blank' href='https://www.nbadraft.net/players/trevion-williams'&gt;C &lt;/a&gt;&lt;/b&gt;
    - 
    &lt;a target='_blank'href='https://www.sports-reference.com/cbb/players/trevion-williams-1.html'&gt;Purdue&lt;/a&gt;&lt;/b&gt; &lt;/i&gt;&lt;/li&gt;
  &lt;ul style='list-style-type:none'&gt;
    &lt;li&gt;Grade: Senior &lt;/li&gt;
    &lt;li&gt;Age: 21.8 &lt;/li&gt;
    &lt;li&gt;Height: 80.75 in &lt;/li&gt;
    &lt;li&gt;Weight: 264.6 lbs &lt;/li&gt;
    &lt;li&gt;Wingspan: 86.75 in &lt;/li&gt;
    &lt;li&gt;Reach: 108.5 in &lt;/li&gt;
    &lt;li&gt;Ape: +6 &lt;/li&gt;
  &lt;/ul&gt;
  &lt;br&gt;</v>
      </c>
    </row>
    <row r="65" spans="1:53" ht="22" customHeight="1" x14ac:dyDescent="0.2">
      <c r="A65" t="s">
        <v>123</v>
      </c>
      <c r="B65" t="s">
        <v>13</v>
      </c>
      <c r="C65" s="3" t="s">
        <v>21</v>
      </c>
      <c r="D65" s="3" t="s">
        <v>19</v>
      </c>
      <c r="E65" s="9">
        <f t="shared" si="25"/>
        <v>19.551629726205999</v>
      </c>
      <c r="F65" s="7">
        <f t="shared" si="26"/>
        <v>84.75</v>
      </c>
      <c r="G65" s="7">
        <f t="shared" si="27"/>
        <v>174.4</v>
      </c>
      <c r="H65" s="7">
        <f t="shared" si="28"/>
        <v>86.25</v>
      </c>
      <c r="I65" s="7">
        <f t="shared" si="29"/>
        <v>112</v>
      </c>
      <c r="J65" s="7" t="str">
        <f t="shared" si="30"/>
        <v>+1.5</v>
      </c>
      <c r="K65" s="9">
        <f t="shared" si="31"/>
        <v>1.0606060606060606</v>
      </c>
      <c r="R65" s="3" t="str">
        <f t="shared" si="17"/>
        <v>HM.</v>
      </c>
      <c r="S65" s="7">
        <f>IFERROR(IF(FLOOR(Q65,1)=FLOOR(Q64,1),S64, MAX(S$5:S64)+1),1)</f>
        <v>6</v>
      </c>
      <c r="T65" s="7" t="str">
        <f>IFERROR(INDEX(actual!A:A,MATCH(A65,actual!B:B,FALSE)), "")</f>
        <v/>
      </c>
      <c r="U65" s="7" t="str">
        <f>IFERROR(INDEX(actual!C:C,MATCH(A65,actual!B:B,FALSE)), "")</f>
        <v/>
      </c>
      <c r="V65" s="16" t="s">
        <v>335</v>
      </c>
      <c r="W65" s="16" t="s">
        <v>334</v>
      </c>
      <c r="X65" s="16" t="s">
        <v>333</v>
      </c>
      <c r="Y65" s="10">
        <v>37594</v>
      </c>
      <c r="Z65" s="13">
        <f t="shared" si="32"/>
        <v>60</v>
      </c>
      <c r="AA65" s="13">
        <f t="shared" si="33"/>
        <v>57</v>
      </c>
      <c r="AB65" s="13">
        <f t="shared" si="34"/>
        <v>62</v>
      </c>
      <c r="AC65" s="12">
        <f t="shared" si="35"/>
        <v>1167</v>
      </c>
      <c r="AD65" s="20">
        <f t="shared" si="36"/>
        <v>636</v>
      </c>
      <c r="AE65" s="20">
        <f t="shared" si="36"/>
        <v>531</v>
      </c>
      <c r="AF65" s="13">
        <v>39</v>
      </c>
      <c r="AG65" s="13">
        <v>9</v>
      </c>
      <c r="AJ65" s="13">
        <v>56</v>
      </c>
      <c r="AK65" s="13">
        <v>63</v>
      </c>
      <c r="AN65" s="13">
        <v>67</v>
      </c>
      <c r="AO65" s="13">
        <v>5</v>
      </c>
      <c r="AP65" s="13">
        <v>57</v>
      </c>
      <c r="AQ65" s="13">
        <v>6</v>
      </c>
      <c r="AS65" s="13">
        <v>65</v>
      </c>
      <c r="AT65" s="13">
        <v>6</v>
      </c>
      <c r="AU65" s="13">
        <v>67</v>
      </c>
      <c r="AV65" s="13">
        <v>66</v>
      </c>
      <c r="AW65" s="2" t="str">
        <f>IFERROR(INDEX(measureables!$A:$J,MATCH($A65,measureables!$A:$A,FALSE),7), "")</f>
        <v>7' 0.75''</v>
      </c>
      <c r="AX65" s="2">
        <f>IFERROR(INDEX(measureables!$A:$J,MATCH($A65,measureables!$A:$A,FALSE),9), "")</f>
        <v>174.4</v>
      </c>
      <c r="AY65" s="2" t="str">
        <f>IFERROR(INDEX(measureables!$A:$J,MATCH($A65,measureables!$A:$A,FALSE),10), "")</f>
        <v>7' 2.25''</v>
      </c>
      <c r="AZ65" s="2" t="str">
        <f>IFERROR(INDEX(measureables!$A:$J,MATCH($A65,measureables!$A:$A,FALSE),8), "")</f>
        <v>9' 4.00''</v>
      </c>
      <c r="BA65" t="str">
        <f t="shared" si="19"/>
        <v xml:space="preserve">  &lt;li&gt;&lt;b&gt;&lt;a 
    target='_blank' href='https://www.nba.com/draft/2022/prospects/john-butler'&gt;John Butler Jr.&lt;/a&gt;&lt;/b&gt;
    - &lt;i&gt;
    &lt;a target='_blank' href='https://www.nbadraft.net/players/john-butler/'&gt;PF &lt;/a&gt;&lt;/b&gt;
    - 
    &lt;a target='_blank'href='https://www.sports-reference.com/cbb/players/john-butler-2.html'&gt;Florida State&lt;/a&gt;&lt;/b&gt; &lt;/i&gt;&lt;/li&gt;
  &lt;ul style='list-style-type:none'&gt;
    &lt;li&gt;Grade: Freshman &lt;/li&gt;
    &lt;li&gt;Age: 19.6 &lt;/li&gt;
    &lt;li&gt;Height: 84.75 in &lt;/li&gt;
    &lt;li&gt;Weight: 174.4 lbs &lt;/li&gt;
    &lt;li&gt;Wingspan: 86.25 in &lt;/li&gt;
    &lt;li&gt;Reach: 112 in &lt;/li&gt;
    &lt;li&gt;Ape: +1.5 &lt;/li&gt;
  &lt;/ul&gt;
  &lt;br&gt;</v>
      </c>
    </row>
    <row r="66" spans="1:53" ht="22" customHeight="1" x14ac:dyDescent="0.2">
      <c r="A66" t="s">
        <v>345</v>
      </c>
      <c r="B66" t="s">
        <v>12</v>
      </c>
      <c r="C66" s="3" t="s">
        <v>346</v>
      </c>
      <c r="D66" s="3" t="s">
        <v>72</v>
      </c>
      <c r="E66" s="9">
        <f t="shared" si="25"/>
        <v>22.746064339493497</v>
      </c>
      <c r="F66" s="7">
        <f t="shared" si="26"/>
        <v>82</v>
      </c>
      <c r="G66" s="7">
        <f t="shared" si="27"/>
        <v>240</v>
      </c>
      <c r="H66" s="7" t="str">
        <f t="shared" si="28"/>
        <v/>
      </c>
      <c r="I66" s="7" t="str">
        <f t="shared" si="29"/>
        <v/>
      </c>
      <c r="J66" s="7" t="str">
        <f t="shared" si="30"/>
        <v/>
      </c>
      <c r="K66" s="9" t="str">
        <f t="shared" si="31"/>
        <v/>
      </c>
      <c r="R66" s="3" t="str">
        <f t="shared" si="17"/>
        <v>HM.</v>
      </c>
      <c r="S66" s="7">
        <f>IFERROR(IF(FLOOR(Q66,1)=FLOOR(Q65,1),S65, MAX(S$5:S65)+1),1)</f>
        <v>6</v>
      </c>
      <c r="T66" s="7">
        <f>IFERROR(INDEX(actual!A:A,MATCH(A66,actual!B:B,FALSE)), "")</f>
        <v>49</v>
      </c>
      <c r="U66" s="7" t="str">
        <f>IFERROR(INDEX(actual!C:C,MATCH(A66,actual!B:B,FALSE)), "")</f>
        <v>CLE</v>
      </c>
      <c r="V66" s="4" t="str">
        <f t="shared" ref="V66:V73" si="41">HYPERLINK(IF(D66="", "https://www.basketball-reference.com/international", "https://www.sports-reference.com/cbb") &amp; "/players/" &amp; LOWER(SUBSTITUTE(A66, " ", "-") &amp; "-1.html"))</f>
        <v>https://www.sports-reference.com/cbb/players/isaiah-mobley-1.html</v>
      </c>
      <c r="W66" s="4" t="str">
        <f t="shared" ref="W66:W105" si="42">HYPERLINK("https://www.nbadraft.net/players/" &amp; LOWER(SUBSTITUTE(A66, " ", "-") &amp; ""))</f>
        <v>https://www.nbadraft.net/players/isaiah-mobley</v>
      </c>
      <c r="X66" s="17" t="str">
        <f t="shared" ref="X66:X73" si="43">HYPERLINK("https://www.nba.com/draft/2022/prospects/" &amp; LOWER(SUBSTITUTE(A66, " ", "-") &amp; ""))</f>
        <v>https://www.nba.com/draft/2022/prospects/isaiah-mobley</v>
      </c>
      <c r="Y66" s="10">
        <v>36427</v>
      </c>
      <c r="Z66" s="13">
        <f t="shared" si="32"/>
        <v>61</v>
      </c>
      <c r="AA66" s="13">
        <f t="shared" si="33"/>
        <v>63</v>
      </c>
      <c r="AB66" s="13">
        <f t="shared" si="34"/>
        <v>56</v>
      </c>
      <c r="AC66" s="12">
        <f t="shared" si="35"/>
        <v>1192</v>
      </c>
      <c r="AD66" s="20">
        <f t="shared" si="36"/>
        <v>688</v>
      </c>
      <c r="AE66" s="20">
        <f t="shared" si="36"/>
        <v>504</v>
      </c>
      <c r="AF66" s="13">
        <v>63</v>
      </c>
      <c r="AG66" s="13">
        <v>13</v>
      </c>
      <c r="AJ66" s="13">
        <v>44</v>
      </c>
      <c r="AK66" s="13">
        <v>72</v>
      </c>
      <c r="AN66" s="13">
        <v>52</v>
      </c>
      <c r="AO66" s="13">
        <v>5</v>
      </c>
      <c r="AS66" s="13">
        <v>41</v>
      </c>
      <c r="AT66" s="13">
        <v>5</v>
      </c>
      <c r="AU66" s="13">
        <v>88</v>
      </c>
      <c r="AV66" s="13">
        <v>18</v>
      </c>
      <c r="AW66" s="2" t="str">
        <f>IFERROR(INDEX(measureables!$A:$J,MATCH($A66,measureables!$A:$A,FALSE),7), "")</f>
        <v>6' 10''</v>
      </c>
      <c r="AX66" s="2">
        <f>IFERROR(INDEX(measureables!$A:$J,MATCH($A66,measureables!$A:$A,FALSE),9), "")</f>
        <v>240</v>
      </c>
      <c r="AY66" s="2">
        <f>IFERROR(INDEX(measureables!$A:$J,MATCH($A66,measureables!$A:$A,FALSE),10), "")</f>
        <v>0</v>
      </c>
      <c r="AZ66" s="2">
        <f>IFERROR(INDEX(measureables!$A:$J,MATCH($A66,measureables!$A:$A,FALSE),8), "")</f>
        <v>0</v>
      </c>
      <c r="BA66" t="str">
        <f t="shared" si="19"/>
        <v xml:space="preserve">  &lt;li&gt;&lt;b&gt;&lt;a 
    target='_blank' href='https://www.nba.com/draft/2022/prospects/isaiah-mobley'&gt;Isaiah Mobley&lt;/a&gt;&lt;/b&gt;
    - &lt;i&gt;
    &lt;a target='_blank' href='https://www.nbadraft.net/players/isaiah-mobley'&gt;C &lt;/a&gt;&lt;/b&gt;
    - 
    &lt;a target='_blank'href='https://www.sports-reference.com/cbb/players/isaiah-mobley-1.html'&gt;UCS&lt;/a&gt;&lt;/b&gt; &lt;/i&gt;&lt;/li&gt;
  &lt;ul style='list-style-type:none'&gt;
    &lt;li&gt;Grade: Junior &lt;/li&gt;
    &lt;li&gt;Age: 22.7 &lt;/li&gt;
    &lt;li&gt;Height: 82 in &lt;/li&gt;
    &lt;li&gt;Weight: 240 lbs &lt;/li&gt;
  &lt;/ul&gt;
  &lt;br&gt;</v>
      </c>
    </row>
    <row r="67" spans="1:53" ht="22" customHeight="1" x14ac:dyDescent="0.2">
      <c r="A67" t="s">
        <v>139</v>
      </c>
      <c r="B67" t="s">
        <v>12</v>
      </c>
      <c r="C67" s="3" t="s">
        <v>65</v>
      </c>
      <c r="D67" s="3" t="s">
        <v>19</v>
      </c>
      <c r="E67" s="9">
        <f t="shared" si="25"/>
        <v>20.41955671447197</v>
      </c>
      <c r="F67" s="7">
        <f t="shared" si="26"/>
        <v>82.25</v>
      </c>
      <c r="G67" s="7">
        <f t="shared" si="27"/>
        <v>216.6</v>
      </c>
      <c r="H67" s="7">
        <f t="shared" si="28"/>
        <v>86.5</v>
      </c>
      <c r="I67" s="7">
        <f t="shared" si="29"/>
        <v>109.5</v>
      </c>
      <c r="J67" s="7" t="str">
        <f t="shared" si="30"/>
        <v>+4.25</v>
      </c>
      <c r="K67" s="9">
        <f t="shared" si="31"/>
        <v>1.1910112359550562</v>
      </c>
      <c r="R67" s="3" t="str">
        <f t="shared" si="17"/>
        <v>HM.</v>
      </c>
      <c r="S67" s="7">
        <f>IFERROR(IF(FLOOR(Q67,1)=FLOOR(Q66,1),S66, MAX(S$5:S66)+1),1)</f>
        <v>6</v>
      </c>
      <c r="T67" s="7">
        <f>IFERROR(INDEX(actual!A:A,MATCH(A67,actual!B:B,FALSE)), "")</f>
        <v>43</v>
      </c>
      <c r="U67" s="7" t="str">
        <f>IFERROR(INDEX(actual!C:C,MATCH(A67,actual!B:B,FALSE)), "")</f>
        <v>LAC</v>
      </c>
      <c r="V67" s="4" t="str">
        <f t="shared" si="41"/>
        <v>https://www.sports-reference.com/cbb/players/moussa-diabate-1.html</v>
      </c>
      <c r="W67" s="4" t="str">
        <f t="shared" si="42"/>
        <v>https://www.nbadraft.net/players/moussa-diabate</v>
      </c>
      <c r="X67" s="17" t="str">
        <f t="shared" si="43"/>
        <v>https://www.nba.com/draft/2022/prospects/moussa-diabate</v>
      </c>
      <c r="Y67" s="10">
        <v>37277</v>
      </c>
      <c r="Z67" s="13">
        <f t="shared" si="32"/>
        <v>62</v>
      </c>
      <c r="AA67" s="13">
        <f t="shared" si="33"/>
        <v>73</v>
      </c>
      <c r="AB67" s="13">
        <f t="shared" si="34"/>
        <v>49</v>
      </c>
      <c r="AC67" s="12">
        <f t="shared" si="35"/>
        <v>1221</v>
      </c>
      <c r="AD67" s="20">
        <f t="shared" si="36"/>
        <v>742</v>
      </c>
      <c r="AE67" s="20">
        <f t="shared" si="36"/>
        <v>479</v>
      </c>
      <c r="AJ67" s="13">
        <v>34</v>
      </c>
      <c r="AK67" s="13">
        <v>77</v>
      </c>
      <c r="AP67" s="13">
        <v>67</v>
      </c>
      <c r="AQ67" s="13">
        <v>6</v>
      </c>
      <c r="AS67" s="13">
        <v>60</v>
      </c>
      <c r="AT67" s="13">
        <v>6</v>
      </c>
      <c r="AU67" s="13">
        <v>70</v>
      </c>
      <c r="AW67" s="2" t="str">
        <f>IFERROR(INDEX(measureables!$A:$J,MATCH($A67,measureables!$A:$A,FALSE),7), "")</f>
        <v>6' 10.25''</v>
      </c>
      <c r="AX67" s="2">
        <f>IFERROR(INDEX(measureables!$A:$J,MATCH($A67,measureables!$A:$A,FALSE),9), "")</f>
        <v>216.6</v>
      </c>
      <c r="AY67" s="2" t="str">
        <f>IFERROR(INDEX(measureables!$A:$J,MATCH($A67,measureables!$A:$A,FALSE),10), "")</f>
        <v>7' 2.50''</v>
      </c>
      <c r="AZ67" s="2" t="str">
        <f>IFERROR(INDEX(measureables!$A:$J,MATCH($A67,measureables!$A:$A,FALSE),8), "")</f>
        <v>9' 1.50''</v>
      </c>
      <c r="BA67" t="str">
        <f t="shared" si="19"/>
        <v xml:space="preserve">  &lt;li&gt;&lt;b&gt;&lt;a 
    target='_blank' href='https://www.nba.com/draft/2022/prospects/moussa-diabate'&gt;Moussa Diabate&lt;/a&gt;&lt;/b&gt;
    - &lt;i&gt;
    &lt;a target='_blank' href='https://www.nbadraft.net/players/moussa-diabate'&gt;C &lt;/a&gt;&lt;/b&gt;
    - 
    &lt;a target='_blank'href='https://www.sports-reference.com/cbb/players/moussa-diabate-1.html'&gt;Michigan&lt;/a&gt;&lt;/b&gt; &lt;/i&gt;&lt;/li&gt;
  &lt;ul style='list-style-type:none'&gt;
    &lt;li&gt;Grade: Freshman &lt;/li&gt;
    &lt;li&gt;Age: 20.4 &lt;/li&gt;
    &lt;li&gt;Height: 82.25 in &lt;/li&gt;
    &lt;li&gt;Weight: 216.6 lbs &lt;/li&gt;
    &lt;li&gt;Wingspan: 86.5 in &lt;/li&gt;
    &lt;li&gt;Reach: 109.5 in &lt;/li&gt;
    &lt;li&gt;Ape: +4.25 &lt;/li&gt;
  &lt;/ul&gt;
  &lt;br&gt;</v>
      </c>
    </row>
    <row r="68" spans="1:53" ht="22" customHeight="1" x14ac:dyDescent="0.2">
      <c r="A68" t="s">
        <v>273</v>
      </c>
      <c r="B68" t="s">
        <v>12</v>
      </c>
      <c r="C68" s="3" t="s">
        <v>501</v>
      </c>
      <c r="E68" s="9">
        <f t="shared" si="25"/>
        <v>20.435984354628424</v>
      </c>
      <c r="F68" s="7">
        <f t="shared" si="26"/>
        <v>85</v>
      </c>
      <c r="G68" s="7">
        <f t="shared" si="27"/>
        <v>240</v>
      </c>
      <c r="H68" s="7" t="str">
        <f t="shared" si="28"/>
        <v/>
      </c>
      <c r="I68" s="7" t="str">
        <f t="shared" si="29"/>
        <v/>
      </c>
      <c r="J68" s="7" t="str">
        <f t="shared" si="30"/>
        <v/>
      </c>
      <c r="K68" s="9" t="str">
        <f t="shared" si="31"/>
        <v/>
      </c>
      <c r="R68" s="3" t="str">
        <f t="shared" si="17"/>
        <v>HM.</v>
      </c>
      <c r="S68" s="7">
        <f>IFERROR(IF(FLOOR(Q68,1)=FLOOR(Q67,1),S67, MAX(S$5:S67)+1),1)</f>
        <v>6</v>
      </c>
      <c r="T68" s="7">
        <f>IFERROR(INDEX(actual!A:A,MATCH(A68,actual!B:B,FALSE)), "")</f>
        <v>39</v>
      </c>
      <c r="U68" s="7" t="str">
        <f>IFERROR(INDEX(actual!C:C,MATCH(A68,actual!B:B,FALSE)), "")</f>
        <v>CLE</v>
      </c>
      <c r="V68" s="4" t="str">
        <f t="shared" si="41"/>
        <v>https://www.basketball-reference.com/international/players/khalifa-diop-1.html</v>
      </c>
      <c r="W68" s="4" t="str">
        <f t="shared" si="42"/>
        <v>https://www.nbadraft.net/players/khalifa-diop</v>
      </c>
      <c r="X68" s="17" t="str">
        <f t="shared" si="43"/>
        <v>https://www.nba.com/draft/2022/prospects/khalifa-diop</v>
      </c>
      <c r="Y68" s="10">
        <v>37271</v>
      </c>
      <c r="Z68" s="13">
        <f t="shared" si="32"/>
        <v>63</v>
      </c>
      <c r="AA68" s="13">
        <f t="shared" si="33"/>
        <v>67</v>
      </c>
      <c r="AB68" s="13">
        <f t="shared" si="34"/>
        <v>58</v>
      </c>
      <c r="AC68" s="12">
        <f t="shared" si="35"/>
        <v>1223</v>
      </c>
      <c r="AD68" s="20">
        <f t="shared" si="36"/>
        <v>712</v>
      </c>
      <c r="AE68" s="20">
        <f t="shared" si="36"/>
        <v>511</v>
      </c>
      <c r="AH68" s="13">
        <v>41</v>
      </c>
      <c r="AJ68" s="13">
        <v>68</v>
      </c>
      <c r="AK68" s="13">
        <v>43</v>
      </c>
      <c r="AP68" s="13">
        <v>68</v>
      </c>
      <c r="AQ68" s="13">
        <v>6</v>
      </c>
      <c r="AS68" s="13">
        <v>66</v>
      </c>
      <c r="AT68" s="13">
        <v>6</v>
      </c>
      <c r="AU68" s="13">
        <v>32</v>
      </c>
      <c r="AW68" s="2" t="str">
        <f>IFERROR(INDEX(measureables!$A:$J,MATCH($A68,measureables!$A:$A,FALSE),7), "")</f>
        <v>7' 1''</v>
      </c>
      <c r="AX68" s="2">
        <f>IFERROR(INDEX(measureables!$A:$J,MATCH($A68,measureables!$A:$A,FALSE),9), "")</f>
        <v>240</v>
      </c>
      <c r="AY68" s="2">
        <f>IFERROR(INDEX(measureables!$A:$J,MATCH($A68,measureables!$A:$A,FALSE),10), "")</f>
        <v>0</v>
      </c>
      <c r="AZ68" s="2">
        <f>IFERROR(INDEX(measureables!$A:$J,MATCH($A68,measureables!$A:$A,FALSE),8), "")</f>
        <v>0</v>
      </c>
      <c r="BA68" t="str">
        <f t="shared" si="19"/>
        <v xml:space="preserve">  &lt;li&gt;&lt;b&gt;&lt;a 
    target='_blank' href='https://www.nba.com/draft/2022/prospects/khalifa-diop'&gt;Khalifa Diop&lt;/a&gt;&lt;/b&gt;
    - &lt;i&gt;
    &lt;a target='_blank' href='https://www.nbadraft.net/players/khalifa-diop'&gt;C &lt;/a&gt;&lt;/b&gt;
    - 
    &lt;a target='_blank'href='https://www.basketball-reference.com/international/players/khalifa-diop-1.html'&gt;Gran Canaria&lt;/a&gt;&lt;/b&gt; &lt;/i&gt;&lt;/li&gt;
  &lt;ul style='list-style-type:none'&gt;
    &lt;li&gt;Age: 20.4 &lt;/li&gt;
    &lt;li&gt;Height: 85 in &lt;/li&gt;
    &lt;li&gt;Weight: 240 lbs &lt;/li&gt;
  &lt;/ul&gt;
  &lt;br&gt;</v>
      </c>
    </row>
    <row r="69" spans="1:53" ht="22" customHeight="1" x14ac:dyDescent="0.2">
      <c r="A69" t="s">
        <v>221</v>
      </c>
      <c r="B69" t="s">
        <v>16</v>
      </c>
      <c r="C69" s="3" t="s">
        <v>311</v>
      </c>
      <c r="D69" s="3" t="s">
        <v>72</v>
      </c>
      <c r="E69" s="9">
        <f t="shared" si="25"/>
        <v>23.01163586584531</v>
      </c>
      <c r="F69" s="7">
        <f t="shared" si="26"/>
        <v>77</v>
      </c>
      <c r="G69" s="7">
        <f t="shared" si="27"/>
        <v>209</v>
      </c>
      <c r="H69" s="7">
        <f t="shared" si="28"/>
        <v>79</v>
      </c>
      <c r="I69" s="7">
        <f t="shared" si="29"/>
        <v>102</v>
      </c>
      <c r="J69" s="7" t="str">
        <f t="shared" si="30"/>
        <v>+2</v>
      </c>
      <c r="K69" s="9">
        <f t="shared" si="31"/>
        <v>1.1176470588235294</v>
      </c>
      <c r="R69" s="3" t="str">
        <f t="shared" si="17"/>
        <v>HM.</v>
      </c>
      <c r="S69" s="7">
        <f>IFERROR(IF(FLOOR(Q69,1)=FLOOR(Q68,1),S68, MAX(S$5:S68)+1),1)</f>
        <v>6</v>
      </c>
      <c r="T69" s="7" t="str">
        <f>IFERROR(INDEX(actual!A:A,MATCH(A69,actual!B:B,FALSE)), "")</f>
        <v/>
      </c>
      <c r="U69" s="7" t="str">
        <f>IFERROR(INDEX(actual!C:C,MATCH(A69,actual!B:B,FALSE)), "")</f>
        <v/>
      </c>
      <c r="V69" s="4" t="str">
        <f t="shared" si="41"/>
        <v>https://www.sports-reference.com/cbb/players/alondes-williams-1.html</v>
      </c>
      <c r="W69" s="4" t="str">
        <f t="shared" si="42"/>
        <v>https://www.nbadraft.net/players/alondes-williams</v>
      </c>
      <c r="X69" s="17" t="str">
        <f t="shared" si="43"/>
        <v>https://www.nba.com/draft/2022/prospects/alondes-williams</v>
      </c>
      <c r="Y69" s="10">
        <v>36330</v>
      </c>
      <c r="Z69" s="13">
        <f t="shared" si="32"/>
        <v>64</v>
      </c>
      <c r="AA69" s="13">
        <f t="shared" si="33"/>
        <v>48</v>
      </c>
      <c r="AB69" s="13">
        <f t="shared" si="34"/>
        <v>91</v>
      </c>
      <c r="AC69" s="12">
        <f t="shared" si="35"/>
        <v>1227</v>
      </c>
      <c r="AD69" s="20">
        <f t="shared" si="36"/>
        <v>557</v>
      </c>
      <c r="AE69" s="20">
        <f t="shared" si="36"/>
        <v>670</v>
      </c>
      <c r="AF69" s="13">
        <v>71</v>
      </c>
      <c r="AG69" s="13">
        <v>13</v>
      </c>
      <c r="AJ69" s="13">
        <v>94</v>
      </c>
      <c r="AK69" s="13">
        <v>88</v>
      </c>
      <c r="AN69" s="13">
        <v>30</v>
      </c>
      <c r="AO69" s="13">
        <v>4</v>
      </c>
      <c r="AP69" s="13">
        <v>30</v>
      </c>
      <c r="AQ69" s="13">
        <v>5</v>
      </c>
      <c r="AS69" s="13">
        <v>53</v>
      </c>
      <c r="AT69" s="13">
        <v>6</v>
      </c>
      <c r="AU69" s="13">
        <v>59</v>
      </c>
      <c r="AW69" s="2" t="str">
        <f>IFERROR(INDEX(measureables!$A:$J,MATCH($A69,measureables!$A:$A,FALSE),7), "")</f>
        <v>6' 5.00''</v>
      </c>
      <c r="AX69" s="2">
        <f>IFERROR(INDEX(measureables!$A:$J,MATCH($A69,measureables!$A:$A,FALSE),9), "")</f>
        <v>209</v>
      </c>
      <c r="AY69" s="2" t="str">
        <f>IFERROR(INDEX(measureables!$A:$J,MATCH($A69,measureables!$A:$A,FALSE),10), "")</f>
        <v>6' 7.00''</v>
      </c>
      <c r="AZ69" s="2" t="str">
        <f>IFERROR(INDEX(measureables!$A:$J,MATCH($A69,measureables!$A:$A,FALSE),8), "")</f>
        <v>8' 6.00''</v>
      </c>
      <c r="BA69" t="str">
        <f t="shared" si="19"/>
        <v xml:space="preserve">  &lt;li&gt;&lt;b&gt;&lt;a 
    target='_blank' href='https://www.nba.com/draft/2022/prospects/alondes-williams'&gt;Alondes Williams&lt;/a&gt;&lt;/b&gt;
    - &lt;i&gt;
    &lt;a target='_blank' href='https://www.nbadraft.net/players/alondes-williams'&gt;SG &lt;/a&gt;&lt;/b&gt;
    - 
    &lt;a target='_blank'href='https://www.sports-reference.com/cbb/players/alondes-williams-1.html'&gt;Wake Forest&lt;/a&gt;&lt;/b&gt; &lt;/i&gt;&lt;/li&gt;
  &lt;ul style='list-style-type:none'&gt;
    &lt;li&gt;Grade: Junior &lt;/li&gt;
    &lt;li&gt;Age: 23 &lt;/li&gt;
    &lt;li&gt;Height: 77 in &lt;/li&gt;
    &lt;li&gt;Weight: 209 lbs &lt;/li&gt;
    &lt;li&gt;Wingspan: 79 in &lt;/li&gt;
    &lt;li&gt;Reach: 102 in &lt;/li&gt;
    &lt;li&gt;Ape: +2 &lt;/li&gt;
  &lt;/ul&gt;
  &lt;br&gt;</v>
      </c>
    </row>
    <row r="70" spans="1:53" ht="22" customHeight="1" x14ac:dyDescent="0.2">
      <c r="A70" t="s">
        <v>219</v>
      </c>
      <c r="B70" t="s">
        <v>16</v>
      </c>
      <c r="C70" s="3" t="s">
        <v>77</v>
      </c>
      <c r="D70" s="3" t="s">
        <v>73</v>
      </c>
      <c r="E70" s="9">
        <f t="shared" ref="E70:E105" si="44">YEARFRAC(Y70, $E$5, 1)</f>
        <v>22.455183906677778</v>
      </c>
      <c r="F70" s="7">
        <f t="shared" ref="F70:F105" si="45">IFERROR(LEFT(AW70,FIND("'",AW70)-1)*12+SUBSTITUTE(MID(AW70,FIND("'",AW70)+1,LEN(AW70)),"''",""), "")</f>
        <v>76.75</v>
      </c>
      <c r="G70" s="7">
        <f t="shared" ref="G70:G105" si="46">AX70</f>
        <v>167.4</v>
      </c>
      <c r="H70" s="7">
        <f t="shared" ref="H70:H105" si="47">IFERROR(LEFT(AY70,FIND("'",AY70)-1)*12+SUBSTITUTE(MID(AY70,FIND("'",AY70)+1,LEN(AY70)),"''",""), "")</f>
        <v>80.5</v>
      </c>
      <c r="I70" s="7">
        <f t="shared" ref="I70:I105" si="48">IFERROR(LEFT(AZ70,FIND("'",AZ70)-1)*12+SUBSTITUTE(MID(AZ70,FIND("'",AZ70)+1,LEN(AZ70)),"''",""), "")</f>
        <v>102</v>
      </c>
      <c r="J70" s="7" t="str">
        <f t="shared" ref="J70:J105" si="49">IFERROR(IF(AND(H70-F70&gt;= 0, H70 &gt; 0), "+", ""),"") &amp; IFERROR(IF(AND(H70-F70&gt;= -5, H70 &gt; 0), H70-F70, ""),"")</f>
        <v>+3.75</v>
      </c>
      <c r="K70" s="9">
        <f t="shared" ref="K70:K105" si="50">IF(F70&gt;0, IFERROR((H70-60)/(F70-60),""), "")</f>
        <v>1.2238805970149254</v>
      </c>
      <c r="R70" s="3" t="str">
        <f t="shared" si="17"/>
        <v>HM.</v>
      </c>
      <c r="S70" s="7">
        <f>IFERROR(IF(FLOOR(Q70,1)=FLOOR(Q69,1),S69, MAX(S$5:S69)+1),1)</f>
        <v>6</v>
      </c>
      <c r="T70" s="7" t="str">
        <f>IFERROR(INDEX(actual!A:A,MATCH(A70,actual!B:B,FALSE)), "")</f>
        <v/>
      </c>
      <c r="U70" s="7" t="str">
        <f>IFERROR(INDEX(actual!C:C,MATCH(A70,actual!B:B,FALSE)), "")</f>
        <v/>
      </c>
      <c r="V70" s="4" t="str">
        <f t="shared" si="41"/>
        <v>https://www.sports-reference.com/cbb/players/keon-ellis-1.html</v>
      </c>
      <c r="W70" s="4" t="str">
        <f t="shared" si="42"/>
        <v>https://www.nbadraft.net/players/keon-ellis</v>
      </c>
      <c r="X70" s="17" t="str">
        <f t="shared" si="43"/>
        <v>https://www.nba.com/draft/2022/prospects/keon-ellis</v>
      </c>
      <c r="Y70" s="10">
        <v>36533</v>
      </c>
      <c r="Z70" s="13">
        <f t="shared" ref="Z70:Z105" si="51">RANK(AC70,AC:AC,1)</f>
        <v>65</v>
      </c>
      <c r="AA70" s="13">
        <f t="shared" ref="AA70:AA105" si="52">RANK(AD70,AD:AD,1)</f>
        <v>56</v>
      </c>
      <c r="AB70" s="13">
        <f t="shared" ref="AB70:AB105" si="53">RANK(AE70,AE:AE,1)</f>
        <v>75</v>
      </c>
      <c r="AC70" s="12">
        <f t="shared" ref="AC70:AC101" si="54">AD70+AE70</f>
        <v>1228</v>
      </c>
      <c r="AD70" s="20">
        <f t="shared" si="36"/>
        <v>629</v>
      </c>
      <c r="AE70" s="20">
        <f t="shared" si="36"/>
        <v>599</v>
      </c>
      <c r="AF70" s="13">
        <v>64</v>
      </c>
      <c r="AG70" s="13">
        <v>13</v>
      </c>
      <c r="AJ70" s="13">
        <v>84</v>
      </c>
      <c r="AK70" s="13">
        <v>47</v>
      </c>
      <c r="AN70" s="13">
        <v>59</v>
      </c>
      <c r="AO70" s="13">
        <v>5</v>
      </c>
      <c r="AP70" s="13">
        <v>36</v>
      </c>
      <c r="AQ70" s="13">
        <v>5</v>
      </c>
      <c r="AS70" s="13">
        <v>63</v>
      </c>
      <c r="AT70" s="13">
        <v>6</v>
      </c>
      <c r="AU70" s="13">
        <v>61</v>
      </c>
      <c r="AW70" s="2" t="str">
        <f>IFERROR(INDEX(measureables!$A:$J,MATCH($A70,measureables!$A:$A,FALSE),7), "")</f>
        <v>6' 4.75''</v>
      </c>
      <c r="AX70" s="2">
        <f>IFERROR(INDEX(measureables!$A:$J,MATCH($A70,measureables!$A:$A,FALSE),9), "")</f>
        <v>167.4</v>
      </c>
      <c r="AY70" s="2" t="str">
        <f>IFERROR(INDEX(measureables!$A:$J,MATCH($A70,measureables!$A:$A,FALSE),10), "")</f>
        <v>6' 8.50''</v>
      </c>
      <c r="AZ70" s="2" t="str">
        <f>IFERROR(INDEX(measureables!$A:$J,MATCH($A70,measureables!$A:$A,FALSE),8), "")</f>
        <v>8' 6.00''</v>
      </c>
      <c r="BA70" t="str">
        <f t="shared" si="19"/>
        <v xml:space="preserve">  &lt;li&gt;&lt;b&gt;&lt;a 
    target='_blank' href='https://www.nba.com/draft/2022/prospects/keon-ellis'&gt;Keon Ellis&lt;/a&gt;&lt;/b&gt;
    - &lt;i&gt;
    &lt;a target='_blank' href='https://www.nbadraft.net/players/keon-ellis'&gt;SG &lt;/a&gt;&lt;/b&gt;
    - 
    &lt;a target='_blank'href='https://www.sports-reference.com/cbb/players/keon-ellis-1.html'&gt;Alabama&lt;/a&gt;&lt;/b&gt; &lt;/i&gt;&lt;/li&gt;
  &lt;ul style='list-style-type:none'&gt;
    &lt;li&gt;Grade: Senior &lt;/li&gt;
    &lt;li&gt;Age: 22.5 &lt;/li&gt;
    &lt;li&gt;Height: 76.75 in &lt;/li&gt;
    &lt;li&gt;Weight: 167.4 lbs &lt;/li&gt;
    &lt;li&gt;Wingspan: 80.5 in &lt;/li&gt;
    &lt;li&gt;Reach: 102 in &lt;/li&gt;
    &lt;li&gt;Ape: +3.75 &lt;/li&gt;
  &lt;/ul&gt;
  &lt;br&gt;</v>
      </c>
    </row>
    <row r="71" spans="1:53" ht="22" customHeight="1" x14ac:dyDescent="0.2">
      <c r="A71" t="s">
        <v>138</v>
      </c>
      <c r="B71" t="s">
        <v>12</v>
      </c>
      <c r="C71" s="3" t="s">
        <v>78</v>
      </c>
      <c r="D71" s="3" t="s">
        <v>72</v>
      </c>
      <c r="E71" s="9">
        <f t="shared" si="44"/>
        <v>22.809034907597535</v>
      </c>
      <c r="F71" s="7">
        <f t="shared" si="45"/>
        <v>84</v>
      </c>
      <c r="G71" s="7">
        <f t="shared" si="46"/>
        <v>293</v>
      </c>
      <c r="H71" s="7">
        <f t="shared" si="47"/>
        <v>88.25</v>
      </c>
      <c r="I71" s="7">
        <f t="shared" si="48"/>
        <v>110.5</v>
      </c>
      <c r="J71" s="7" t="str">
        <f t="shared" si="49"/>
        <v>+4.25</v>
      </c>
      <c r="K71" s="9">
        <f t="shared" si="50"/>
        <v>1.1770833333333333</v>
      </c>
      <c r="R71" s="3" t="str">
        <f t="shared" ref="R71:R105" si="55">IF(Q71=-1, "", IF(Q71=0,"HM.",IF(Q71="","",RANK(Q71,Q$6:Q$980))))</f>
        <v>HM.</v>
      </c>
      <c r="S71" s="7">
        <f>IFERROR(IF(FLOOR(Q71,1)=FLOOR(Q70,1),S70, MAX(S$5:S70)+1),1)</f>
        <v>6</v>
      </c>
      <c r="T71" s="7" t="str">
        <f>IFERROR(INDEX(actual!A:A,MATCH(A71,actual!B:B,FALSE)), "")</f>
        <v/>
      </c>
      <c r="U71" s="7" t="str">
        <f>IFERROR(INDEX(actual!C:C,MATCH(A71,actual!B:B,FALSE)), "")</f>
        <v/>
      </c>
      <c r="V71" s="4" t="str">
        <f t="shared" si="41"/>
        <v>https://www.sports-reference.com/cbb/players/kofi-cockburn-1.html</v>
      </c>
      <c r="W71" s="4" t="str">
        <f t="shared" si="42"/>
        <v>https://www.nbadraft.net/players/kofi-cockburn</v>
      </c>
      <c r="X71" s="17" t="str">
        <f t="shared" si="43"/>
        <v>https://www.nba.com/draft/2022/prospects/kofi-cockburn</v>
      </c>
      <c r="Y71" s="10">
        <v>36404</v>
      </c>
      <c r="Z71" s="13">
        <f t="shared" si="51"/>
        <v>66</v>
      </c>
      <c r="AA71" s="13">
        <f t="shared" si="52"/>
        <v>67</v>
      </c>
      <c r="AB71" s="13">
        <f t="shared" si="53"/>
        <v>60</v>
      </c>
      <c r="AC71" s="12">
        <f t="shared" si="54"/>
        <v>1233</v>
      </c>
      <c r="AD71" s="20">
        <f t="shared" ref="AD71:AE105" si="56">IFERROR(
IF($AF$4 = AD$5, ($AF$3 * IF($AF71&gt;0, $AF71, $AF$2)), 0)
+ IF($AG$4 = AD$5, ($AG$3 * IF($AG71&gt;0, $AG71, $AG$2)), 0)
+ IF($AH$4 = AD$5, ($AH$3 * IF($AH71&gt;0, $AH71, $AH$2)), 0)
+ IF($AI$4 = AD$5, ($AI$3 * IF($AI71&gt;0, $AI71, $AI$2)), 0)
+ IF($AJ$4 = AD$5, ($AJ$3 * IF($AJ71&gt;0, $AJ71, $AJ$2)), 0)
+ IF($AK$4 = AD$5, ($AK$3 * IF($AK71&gt;0, $AK71, $AK$2)), 0)
+ IF($AL$4 = AD$5, ($AL$3 * IF($AL71&gt;0, $AL71, $AL$2)), 0)
+ IF($AM$4 = AD$5, ($AM$3 * IF($AM71&gt;0, $AM71, $AM$2)), 0)
+ IF($AN$4 = AD$5, ($AN$3 * IF($AN71&gt;0, $AN71, $AN$2)), 0)
+ IF($AO$4 = AD$5, ($AO$3 * IF($AO71&gt;0, $AO71, $AO$2)), 0)
+ IF($AP$4 = AD$5, ($AP$3 * IF($AP71&gt;0, $AP71, $AP$2)), 0)
+ IF($AQ$4 = AD$5, ($AQ$3 * IF($AQ71&gt;0, $AQ71, $AQ$2)), 0)
+ IF($AR$4 = AD$5, ($AR$3 * IF($AR71&gt;0, $AR71, $AR$2)), 0)
+ IF($AS$4 = AD$5, ($AS$3 * IF($AS71&gt;0, $AS71, $AS$2)), 0)
+ IF($AT$4 = AD$5, ($AT$3 * IF($AT71&gt;0, $AT71, $AT$2)), 0)
+ IF($AU$4 = AD$5, ($AU$3 * IF($AU71&gt;0, $AU71, $AU$2)), 0)
+ IF($AV$4 = AD$5, ($AV$3 * IF($AV71&gt;0, IF($AV71 &gt; $AV$2, $AV$2, $AV71), $AV$2)), 0), -1)</f>
        <v>712</v>
      </c>
      <c r="AE71" s="20">
        <f t="shared" si="56"/>
        <v>521</v>
      </c>
      <c r="AF71" s="13">
        <v>53</v>
      </c>
      <c r="AG71" s="13">
        <v>11</v>
      </c>
      <c r="AJ71" s="13">
        <v>64</v>
      </c>
      <c r="AK71" s="13">
        <v>48</v>
      </c>
      <c r="AL71" s="13">
        <v>21</v>
      </c>
      <c r="AS71" s="13">
        <v>73</v>
      </c>
      <c r="AT71" s="13">
        <v>6</v>
      </c>
      <c r="AU71" s="13">
        <v>65</v>
      </c>
      <c r="AV71" s="13">
        <v>43</v>
      </c>
      <c r="AW71" s="2" t="str">
        <f>IFERROR(INDEX(measureables!$A:$J,MATCH($A71,measureables!$A:$A,FALSE),7), "")</f>
        <v>7' 0.00''</v>
      </c>
      <c r="AX71" s="2">
        <f>IFERROR(INDEX(measureables!$A:$J,MATCH($A71,measureables!$A:$A,FALSE),9), "")</f>
        <v>293</v>
      </c>
      <c r="AY71" s="2" t="str">
        <f>IFERROR(INDEX(measureables!$A:$J,MATCH($A71,measureables!$A:$A,FALSE),10), "")</f>
        <v>7' 4.25''</v>
      </c>
      <c r="AZ71" s="2" t="str">
        <f>IFERROR(INDEX(measureables!$A:$J,MATCH($A71,measureables!$A:$A,FALSE),8), "")</f>
        <v>9' 2.50''</v>
      </c>
      <c r="BA71" t="str">
        <f t="shared" ref="BA71:BA105" si="57">IF(R71="",A71,
IF(S71=S70,"",IF(S71=1,"
&lt;!-- rankings --&gt;
  ","
  &lt;/ol&gt;
  "
)
&amp;
"&lt;h2&gt; Tier "
&amp;S71
&amp;" (~"
&amp;IF(MOD(ROUND(Q71,0),5)=0,ROUND(Q71,0),FLOOR(ROUND(Q71,0),5)&amp;"+")
&amp;" FV)&lt;/h2&gt;
  &lt;ol start='"
&amp;R71
&amp;" '&gt;
  "
)
&amp;
"  &lt;li&gt;&lt;b&gt;&lt;a 
    target='_blank' href='"
&amp;X71
&amp;"'&gt;"
&amp;A71
&amp;"&lt;/a&gt;&lt;/b&gt;
    - &lt;i&gt;
    &lt;a target='_blank' href='"
&amp;W71
&amp;"'&gt;"
&amp;B71
&amp;" &lt;/a&gt;&lt;/b&gt;
    - 
    &lt;a target='_blank'href='"
&amp;V71
&amp;"'&gt;"
&amp;C71
&amp;"&lt;/a&gt;&lt;/b&gt; &lt;/i&gt;&lt;/li&gt;
  &lt;ul style='list-style-type:none'&gt;"
&amp;IF(D71&lt;&gt;"","
    &lt;li&gt;Grade: "&amp;D71&amp;" &lt;/li&gt;","")
&amp;IF(E71&lt;&gt;"","
    &lt;li&gt;Age: "&amp;ROUND(E71,1)&amp;" &lt;/li&gt;","")
&amp;IF(F71&lt;&gt;"","
    &lt;li&gt;Height: "&amp;F71&amp;" in &lt;/li&gt;","")
&amp;IF(G71&lt;&gt;"","
    &lt;li&gt;Weight: "&amp;G71&amp;" lbs &lt;/li&gt;","")
&amp;IF(H71&lt;&gt;"","
    &lt;li&gt;Wingspan: "&amp;H71&amp;" in &lt;/li&gt;","")
&amp;IF(I71&lt;&gt;"","
    &lt;li&gt;Reach: "&amp;I71&amp;" in &lt;/li&gt;","")
&amp;IF(J71&lt;&gt;"","
    &lt;li&gt;Ape: "&amp;J71&amp;" &lt;/li&gt;","")
&amp;IF(L71&lt;&gt;"","
    &lt;li&gt;++: "&amp;L71&amp;" &lt;/li&gt;","")
&amp;IF(M71&lt;&gt;"","
    &lt;li&gt;+: "&amp;M71&amp;" &lt;/li&gt;","")
&amp;IF(N71&lt;&gt;"","
    &lt;li&gt;-: "&amp;N71&amp;" &lt;/li&gt;","")
&amp;IF(O71&lt;&gt;"","
    &lt;li&gt;--: "&amp;O71&amp;" &lt;/li&gt;","")
&amp;IF(P71&lt;&gt;"","
    &lt;li&gt;Additional Notes: "&amp;P71&amp;" &lt;/li&gt;","")
&amp;"
  &lt;/ul&gt;
  &lt;br&gt;"
&amp;IF(AND(R71&lt;&gt;"",R72=""),"
  &lt;/ol&gt;
&lt;!-- # end of rankings --&gt;
","")
)</f>
        <v xml:space="preserve">  &lt;li&gt;&lt;b&gt;&lt;a 
    target='_blank' href='https://www.nba.com/draft/2022/prospects/kofi-cockburn'&gt;Kofi Cockburn&lt;/a&gt;&lt;/b&gt;
    - &lt;i&gt;
    &lt;a target='_blank' href='https://www.nbadraft.net/players/kofi-cockburn'&gt;C &lt;/a&gt;&lt;/b&gt;
    - 
    &lt;a target='_blank'href='https://www.sports-reference.com/cbb/players/kofi-cockburn-1.html'&gt;Illinois&lt;/a&gt;&lt;/b&gt; &lt;/i&gt;&lt;/li&gt;
  &lt;ul style='list-style-type:none'&gt;
    &lt;li&gt;Grade: Junior &lt;/li&gt;
    &lt;li&gt;Age: 22.8 &lt;/li&gt;
    &lt;li&gt;Height: 84 in &lt;/li&gt;
    &lt;li&gt;Weight: 293 lbs &lt;/li&gt;
    &lt;li&gt;Wingspan: 88.25 in &lt;/li&gt;
    &lt;li&gt;Reach: 110.5 in &lt;/li&gt;
    &lt;li&gt;Ape: +4.25 &lt;/li&gt;
  &lt;/ul&gt;
  &lt;br&gt;</v>
      </c>
    </row>
    <row r="72" spans="1:53" ht="22" customHeight="1" x14ac:dyDescent="0.2">
      <c r="A72" t="s">
        <v>353</v>
      </c>
      <c r="B72" t="s">
        <v>14</v>
      </c>
      <c r="C72" s="3" t="s">
        <v>354</v>
      </c>
      <c r="D72" s="3" t="s">
        <v>66</v>
      </c>
      <c r="E72" s="9">
        <f t="shared" si="44"/>
        <v>20.438722294654497</v>
      </c>
      <c r="F72" s="7">
        <f t="shared" si="45"/>
        <v>79</v>
      </c>
      <c r="G72" s="7">
        <f t="shared" si="46"/>
        <v>215</v>
      </c>
      <c r="H72" s="7" t="str">
        <f t="shared" si="47"/>
        <v/>
      </c>
      <c r="I72" s="7" t="str">
        <f t="shared" si="48"/>
        <v/>
      </c>
      <c r="J72" s="7" t="str">
        <f t="shared" si="49"/>
        <v/>
      </c>
      <c r="K72" s="9" t="str">
        <f t="shared" si="50"/>
        <v/>
      </c>
      <c r="R72" s="3" t="str">
        <f t="shared" si="55"/>
        <v>HM.</v>
      </c>
      <c r="S72" s="7">
        <f>IFERROR(IF(FLOOR(Q72,1)=FLOOR(Q71,1),S71, MAX(S$5:S71)+1),1)</f>
        <v>6</v>
      </c>
      <c r="T72" s="7" t="str">
        <f>IFERROR(INDEX(actual!A:A,MATCH(A72,actual!B:B,FALSE)), "")</f>
        <v/>
      </c>
      <c r="U72" s="7" t="str">
        <f>IFERROR(INDEX(actual!C:C,MATCH(A72,actual!B:B,FALSE)), "")</f>
        <v/>
      </c>
      <c r="V72" s="4" t="str">
        <f t="shared" si="41"/>
        <v>https://www.sports-reference.com/cbb/players/jordan-hall-1.html</v>
      </c>
      <c r="W72" s="4" t="str">
        <f t="shared" si="42"/>
        <v>https://www.nbadraft.net/players/jordan-hall</v>
      </c>
      <c r="X72" s="17" t="str">
        <f t="shared" si="43"/>
        <v>https://www.nba.com/draft/2022/prospects/jordan-hall</v>
      </c>
      <c r="Y72" s="10">
        <v>37270</v>
      </c>
      <c r="Z72" s="13">
        <f t="shared" si="51"/>
        <v>67</v>
      </c>
      <c r="AA72" s="13">
        <f t="shared" si="52"/>
        <v>74</v>
      </c>
      <c r="AB72" s="13">
        <f t="shared" si="53"/>
        <v>53</v>
      </c>
      <c r="AC72" s="12">
        <f t="shared" si="54"/>
        <v>1251</v>
      </c>
      <c r="AD72" s="20">
        <f t="shared" si="56"/>
        <v>750</v>
      </c>
      <c r="AE72" s="20">
        <f t="shared" si="56"/>
        <v>501</v>
      </c>
      <c r="AF72" s="13">
        <v>68</v>
      </c>
      <c r="AG72" s="13">
        <v>13</v>
      </c>
      <c r="AJ72" s="13">
        <v>48</v>
      </c>
      <c r="AK72" s="13">
        <v>57</v>
      </c>
      <c r="AN72" s="13">
        <v>64</v>
      </c>
      <c r="AO72" s="13">
        <v>5</v>
      </c>
      <c r="AP72" s="13">
        <v>70</v>
      </c>
      <c r="AQ72" s="13">
        <v>6</v>
      </c>
      <c r="AS72" s="13">
        <v>69</v>
      </c>
      <c r="AT72" s="13">
        <v>6</v>
      </c>
      <c r="AU72" s="13">
        <v>87</v>
      </c>
      <c r="AW72" s="2" t="str">
        <f>IFERROR(INDEX(measureables!$A:$J,MATCH($A72,measureables!$A:$A,FALSE),7), "")</f>
        <v>6' 7''</v>
      </c>
      <c r="AX72" s="2">
        <f>IFERROR(INDEX(measureables!$A:$J,MATCH($A72,measureables!$A:$A,FALSE),9), "")</f>
        <v>215</v>
      </c>
      <c r="AY72" s="2">
        <f>IFERROR(INDEX(measureables!$A:$J,MATCH($A72,measureables!$A:$A,FALSE),10), "")</f>
        <v>0</v>
      </c>
      <c r="AZ72" s="2">
        <f>IFERROR(INDEX(measureables!$A:$J,MATCH($A72,measureables!$A:$A,FALSE),8), "")</f>
        <v>0</v>
      </c>
      <c r="BA72" t="str">
        <f t="shared" si="57"/>
        <v xml:space="preserve">  &lt;li&gt;&lt;b&gt;&lt;a 
    target='_blank' href='https://www.nba.com/draft/2022/prospects/jordan-hall'&gt;Jordan Hall&lt;/a&gt;&lt;/b&gt;
    - &lt;i&gt;
    &lt;a target='_blank' href='https://www.nbadraft.net/players/jordan-hall'&gt;SF &lt;/a&gt;&lt;/b&gt;
    - 
    &lt;a target='_blank'href='https://www.sports-reference.com/cbb/players/jordan-hall-1.html'&gt;St. Joseph's&lt;/a&gt;&lt;/b&gt; &lt;/i&gt;&lt;/li&gt;
  &lt;ul style='list-style-type:none'&gt;
    &lt;li&gt;Grade: Sophomore &lt;/li&gt;
    &lt;li&gt;Age: 20.4 &lt;/li&gt;
    &lt;li&gt;Height: 79 in &lt;/li&gt;
    &lt;li&gt;Weight: 215 lbs &lt;/li&gt;
  &lt;/ul&gt;
  &lt;br&gt;</v>
      </c>
    </row>
    <row r="73" spans="1:53" ht="22" customHeight="1" x14ac:dyDescent="0.2">
      <c r="A73" t="s">
        <v>371</v>
      </c>
      <c r="B73" t="s">
        <v>13</v>
      </c>
      <c r="C73" s="3" t="s">
        <v>500</v>
      </c>
      <c r="E73" s="9">
        <f t="shared" si="44"/>
        <v>21.233354075917859</v>
      </c>
      <c r="F73" s="7" t="str">
        <f t="shared" si="45"/>
        <v/>
      </c>
      <c r="G73" s="7" t="str">
        <f t="shared" si="46"/>
        <v/>
      </c>
      <c r="H73" s="7" t="str">
        <f t="shared" si="47"/>
        <v/>
      </c>
      <c r="I73" s="7" t="str">
        <f t="shared" si="48"/>
        <v/>
      </c>
      <c r="J73" s="7" t="str">
        <f t="shared" si="49"/>
        <v/>
      </c>
      <c r="K73" s="9" t="str">
        <f t="shared" si="50"/>
        <v/>
      </c>
      <c r="R73" s="3" t="str">
        <f t="shared" si="55"/>
        <v>HM.</v>
      </c>
      <c r="S73" s="7">
        <f>IFERROR(IF(FLOOR(Q73,1)=FLOOR(Q72,1),S72, MAX(S$5:S72)+1),1)</f>
        <v>6</v>
      </c>
      <c r="T73" s="7">
        <f>IFERROR(INDEX(actual!A:A,MATCH(A73,actual!B:B,FALSE)), "")</f>
        <v>52</v>
      </c>
      <c r="U73" s="7" t="str">
        <f>IFERROR(INDEX(actual!C:C,MATCH(A73,actual!B:B,FALSE)), "")</f>
        <v>NOP</v>
      </c>
      <c r="V73" s="4" t="str">
        <f t="shared" si="41"/>
        <v>https://www.basketball-reference.com/international/players/karlo-matkovic-1.html</v>
      </c>
      <c r="W73" s="4" t="str">
        <f t="shared" si="42"/>
        <v>https://www.nbadraft.net/players/karlo-matkovic</v>
      </c>
      <c r="X73" s="17" t="str">
        <f t="shared" si="43"/>
        <v>https://www.nba.com/draft/2022/prospects/karlo-matkovic</v>
      </c>
      <c r="Y73" s="10">
        <v>36980</v>
      </c>
      <c r="Z73" s="13">
        <f t="shared" si="51"/>
        <v>67</v>
      </c>
      <c r="AA73" s="13">
        <f t="shared" si="52"/>
        <v>78</v>
      </c>
      <c r="AB73" s="13">
        <f t="shared" si="53"/>
        <v>51</v>
      </c>
      <c r="AC73" s="12">
        <f t="shared" si="54"/>
        <v>1251</v>
      </c>
      <c r="AD73" s="20">
        <f t="shared" si="56"/>
        <v>760</v>
      </c>
      <c r="AE73" s="20">
        <f t="shared" si="56"/>
        <v>491</v>
      </c>
      <c r="AJ73" s="13">
        <v>46</v>
      </c>
      <c r="AK73" s="13">
        <v>71</v>
      </c>
      <c r="AL73" s="13">
        <v>22</v>
      </c>
      <c r="AS73" s="13">
        <v>76</v>
      </c>
      <c r="AT73" s="13">
        <v>6</v>
      </c>
      <c r="AU73" s="13">
        <v>58</v>
      </c>
      <c r="AW73" s="2" t="str">
        <f>IFERROR(INDEX(measureables!$A:$J,MATCH($A73,measureables!$A:$A,FALSE),7), "")</f>
        <v/>
      </c>
      <c r="AX73" s="2" t="str">
        <f>IFERROR(INDEX(measureables!$A:$J,MATCH($A73,measureables!$A:$A,FALSE),9), "")</f>
        <v/>
      </c>
      <c r="AY73" s="2" t="str">
        <f>IFERROR(INDEX(measureables!$A:$J,MATCH($A73,measureables!$A:$A,FALSE),10), "")</f>
        <v/>
      </c>
      <c r="AZ73" s="2" t="str">
        <f>IFERROR(INDEX(measureables!$A:$J,MATCH($A73,measureables!$A:$A,FALSE),8), "")</f>
        <v/>
      </c>
      <c r="BA73" t="str">
        <f t="shared" si="57"/>
        <v xml:space="preserve">  &lt;li&gt;&lt;b&gt;&lt;a 
    target='_blank' href='https://www.nba.com/draft/2022/prospects/karlo-matkovic'&gt;Karlo Matkovic&lt;/a&gt;&lt;/b&gt;
    - &lt;i&gt;
    &lt;a target='_blank' href='https://www.nbadraft.net/players/karlo-matkovic'&gt;PF &lt;/a&gt;&lt;/b&gt;
    - 
    &lt;a target='_blank'href='https://www.basketball-reference.com/international/players/karlo-matkovic-1.html'&gt;Mega Basket&lt;/a&gt;&lt;/b&gt; &lt;/i&gt;&lt;/li&gt;
  &lt;ul style='list-style-type:none'&gt;
    &lt;li&gt;Age: 21.2 &lt;/li&gt;
  &lt;/ul&gt;
  &lt;br&gt;</v>
      </c>
    </row>
    <row r="74" spans="1:53" ht="22" customHeight="1" x14ac:dyDescent="0.2">
      <c r="A74" t="s">
        <v>250</v>
      </c>
      <c r="B74" t="s">
        <v>15</v>
      </c>
      <c r="C74" s="3" t="s">
        <v>357</v>
      </c>
      <c r="D74" s="3" t="s">
        <v>72</v>
      </c>
      <c r="E74" s="9">
        <f t="shared" si="44"/>
        <v>21.699559576240926</v>
      </c>
      <c r="F74" s="7">
        <f t="shared" si="45"/>
        <v>73.5</v>
      </c>
      <c r="G74" s="7">
        <f t="shared" si="46"/>
        <v>180</v>
      </c>
      <c r="H74" s="7">
        <f t="shared" si="47"/>
        <v>77.75</v>
      </c>
      <c r="I74" s="7">
        <f t="shared" si="48"/>
        <v>95.5</v>
      </c>
      <c r="J74" s="7" t="str">
        <f t="shared" si="49"/>
        <v>+4.25</v>
      </c>
      <c r="K74" s="9">
        <f t="shared" si="50"/>
        <v>1.3148148148148149</v>
      </c>
      <c r="R74" s="3" t="str">
        <f t="shared" si="55"/>
        <v>HM.</v>
      </c>
      <c r="S74" s="7">
        <f>IFERROR(IF(FLOOR(Q74,1)=FLOOR(Q73,1),S73, MAX(S$5:S73)+1),1)</f>
        <v>6</v>
      </c>
      <c r="T74" s="7" t="str">
        <f>IFERROR(INDEX(actual!A:A,MATCH(A74,actual!B:B,FALSE)), "")</f>
        <v/>
      </c>
      <c r="U74" s="7" t="str">
        <f>IFERROR(INDEX(actual!C:C,MATCH(A74,actual!B:B,FALSE)), "")</f>
        <v/>
      </c>
      <c r="V74" s="16" t="s">
        <v>359</v>
      </c>
      <c r="W74" s="4" t="str">
        <f t="shared" si="42"/>
        <v>https://www.nbadraft.net/players/scotty-pippen-jr.</v>
      </c>
      <c r="X74" s="16" t="s">
        <v>358</v>
      </c>
      <c r="Y74" s="10">
        <v>36809</v>
      </c>
      <c r="Z74" s="13">
        <f t="shared" si="51"/>
        <v>69</v>
      </c>
      <c r="AA74" s="13">
        <f t="shared" si="52"/>
        <v>71</v>
      </c>
      <c r="AB74" s="13">
        <f t="shared" si="53"/>
        <v>63</v>
      </c>
      <c r="AC74" s="12">
        <f t="shared" si="54"/>
        <v>1260</v>
      </c>
      <c r="AD74" s="20">
        <f t="shared" si="56"/>
        <v>718</v>
      </c>
      <c r="AE74" s="20">
        <f t="shared" si="56"/>
        <v>542</v>
      </c>
      <c r="AF74" s="13">
        <v>70</v>
      </c>
      <c r="AG74" s="13">
        <v>13</v>
      </c>
      <c r="AJ74" s="13">
        <v>63</v>
      </c>
      <c r="AK74" s="13">
        <v>53</v>
      </c>
      <c r="AN74" s="13">
        <v>46</v>
      </c>
      <c r="AO74" s="13">
        <v>4</v>
      </c>
      <c r="AP74" s="13">
        <v>71</v>
      </c>
      <c r="AQ74" s="13">
        <v>6</v>
      </c>
      <c r="AS74" s="13">
        <v>88</v>
      </c>
      <c r="AT74" s="13">
        <v>7</v>
      </c>
      <c r="AU74" s="13">
        <v>68</v>
      </c>
      <c r="AW74" s="2" t="str">
        <f>IFERROR(INDEX(measureables!$A:$J,MATCH($A74,measureables!$A:$A,FALSE),7), "")</f>
        <v>6' 1.50''</v>
      </c>
      <c r="AX74" s="2">
        <f>IFERROR(INDEX(measureables!$A:$J,MATCH($A74,measureables!$A:$A,FALSE),9), "")</f>
        <v>180</v>
      </c>
      <c r="AY74" s="2" t="str">
        <f>IFERROR(INDEX(measureables!$A:$J,MATCH($A74,measureables!$A:$A,FALSE),10), "")</f>
        <v>6' 5.75''</v>
      </c>
      <c r="AZ74" s="2" t="str">
        <f>IFERROR(INDEX(measureables!$A:$J,MATCH($A74,measureables!$A:$A,FALSE),8), "")</f>
        <v>7' 11.50''</v>
      </c>
      <c r="BA74" t="str">
        <f t="shared" si="57"/>
        <v xml:space="preserve">  &lt;li&gt;&lt;b&gt;&lt;a 
    target='_blank' href='https://www.nba.com/draft/2022/prospects/scotty-pippen-jr'&gt;Scotty Pippen Jr.&lt;/a&gt;&lt;/b&gt;
    - &lt;i&gt;
    &lt;a target='_blank' href='https://www.nbadraft.net/players/scotty-pippen-jr.'&gt;PG &lt;/a&gt;&lt;/b&gt;
    - 
    &lt;a target='_blank'href='https://www.sports-reference.com/cbb/players/scotty-pippenjr-1.html'&gt;Vanderbilt&lt;/a&gt;&lt;/b&gt; &lt;/i&gt;&lt;/li&gt;
  &lt;ul style='list-style-type:none'&gt;
    &lt;li&gt;Grade: Junior &lt;/li&gt;
    &lt;li&gt;Age: 21.7 &lt;/li&gt;
    &lt;li&gt;Height: 73.5 in &lt;/li&gt;
    &lt;li&gt;Weight: 180 lbs &lt;/li&gt;
    &lt;li&gt;Wingspan: 77.75 in &lt;/li&gt;
    &lt;li&gt;Reach: 95.5 in &lt;/li&gt;
    &lt;li&gt;Ape: +4.25 &lt;/li&gt;
  &lt;/ul&gt;
  &lt;br&gt;</v>
      </c>
    </row>
    <row r="75" spans="1:53" ht="22" customHeight="1" x14ac:dyDescent="0.2">
      <c r="A75" t="s">
        <v>275</v>
      </c>
      <c r="B75" t="s">
        <v>254</v>
      </c>
      <c r="C75" s="3" t="s">
        <v>76</v>
      </c>
      <c r="D75" s="3" t="s">
        <v>73</v>
      </c>
      <c r="E75" s="9">
        <f t="shared" si="44"/>
        <v>22.674880219028061</v>
      </c>
      <c r="F75" s="7" t="str">
        <f t="shared" si="45"/>
        <v/>
      </c>
      <c r="G75" s="7" t="str">
        <f t="shared" si="46"/>
        <v>-</v>
      </c>
      <c r="H75" s="7">
        <f t="shared" si="47"/>
        <v>83</v>
      </c>
      <c r="I75" s="7" t="str">
        <f t="shared" si="48"/>
        <v/>
      </c>
      <c r="J75" s="7" t="str">
        <f t="shared" si="49"/>
        <v/>
      </c>
      <c r="K75" s="9" t="str">
        <f t="shared" si="50"/>
        <v/>
      </c>
      <c r="R75" s="3" t="str">
        <f t="shared" si="55"/>
        <v>HM.</v>
      </c>
      <c r="S75" s="7">
        <f>IFERROR(IF(FLOOR(Q75,1)=FLOOR(Q74,1),S74, MAX(S$5:S74)+1),1)</f>
        <v>6</v>
      </c>
      <c r="T75" s="7" t="str">
        <f>IFERROR(INDEX(actual!A:A,MATCH(A75,actual!B:B,FALSE)), "")</f>
        <v/>
      </c>
      <c r="U75" s="7" t="str">
        <f>IFERROR(INDEX(actual!C:C,MATCH(A75,actual!B:B,FALSE)), "")</f>
        <v/>
      </c>
      <c r="V75" s="4" t="str">
        <f t="shared" ref="V75:V81" si="58">HYPERLINK(IF(D75="", "https://www.basketball-reference.com/international", "https://www.sports-reference.com/cbb") &amp; "/players/" &amp; LOWER(SUBSTITUTE(A75, " ", "-") &amp; "-1.html"))</f>
        <v>https://www.sports-reference.com/cbb/players/darius-days-1.html</v>
      </c>
      <c r="W75" s="4" t="str">
        <f t="shared" si="42"/>
        <v>https://www.nbadraft.net/players/darius-days</v>
      </c>
      <c r="X75" s="17" t="str">
        <f t="shared" ref="X75:X105" si="59">HYPERLINK("https://www.nba.com/draft/2022/prospects/" &amp; LOWER(SUBSTITUTE(A75, " ", "-") &amp; ""))</f>
        <v>https://www.nba.com/draft/2022/prospects/darius-days</v>
      </c>
      <c r="Y75" s="10">
        <v>36453</v>
      </c>
      <c r="Z75" s="13">
        <f t="shared" si="51"/>
        <v>70</v>
      </c>
      <c r="AA75" s="13">
        <f t="shared" si="52"/>
        <v>62</v>
      </c>
      <c r="AB75" s="13">
        <f t="shared" si="53"/>
        <v>75</v>
      </c>
      <c r="AC75" s="12">
        <f t="shared" si="54"/>
        <v>1272</v>
      </c>
      <c r="AD75" s="20">
        <f t="shared" si="56"/>
        <v>673</v>
      </c>
      <c r="AE75" s="20">
        <f t="shared" si="56"/>
        <v>599</v>
      </c>
      <c r="AF75" s="13">
        <v>62</v>
      </c>
      <c r="AG75" s="13">
        <v>13</v>
      </c>
      <c r="AH75" s="13">
        <v>44</v>
      </c>
      <c r="AJ75" s="13">
        <v>86</v>
      </c>
      <c r="AK75" s="13">
        <v>65</v>
      </c>
      <c r="AN75" s="13">
        <v>31</v>
      </c>
      <c r="AO75" s="13">
        <v>4</v>
      </c>
      <c r="AP75" s="13">
        <v>69</v>
      </c>
      <c r="AQ75" s="13">
        <v>6</v>
      </c>
      <c r="AS75" s="13">
        <v>81</v>
      </c>
      <c r="AT75" s="13">
        <v>7</v>
      </c>
      <c r="AU75" s="13">
        <v>80</v>
      </c>
      <c r="AV75" s="13">
        <v>59</v>
      </c>
      <c r="AW75" s="2">
        <f>IFERROR(INDEX(measureables!$A:$J,MATCH($A75,measureables!$A:$A,FALSE),7), "")</f>
        <v>0</v>
      </c>
      <c r="AX75" s="2" t="str">
        <f>IFERROR(INDEX(measureables!$A:$J,MATCH($A75,measureables!$A:$A,FALSE),9), "")</f>
        <v>-</v>
      </c>
      <c r="AY75" s="2" t="str">
        <f>IFERROR(INDEX(measureables!$A:$J,MATCH($A75,measureables!$A:$A,FALSE),10), "")</f>
        <v>6' 11''</v>
      </c>
      <c r="AZ75" s="2">
        <f>IFERROR(INDEX(measureables!$A:$J,MATCH($A75,measureables!$A:$A,FALSE),8), "")</f>
        <v>0</v>
      </c>
      <c r="BA75" t="str">
        <f t="shared" si="57"/>
        <v xml:space="preserve">  &lt;li&gt;&lt;b&gt;&lt;a 
    target='_blank' href='https://www.nba.com/draft/2022/prospects/darius-days'&gt;Darius Days&lt;/a&gt;&lt;/b&gt;
    - &lt;i&gt;
    &lt;a target='_blank' href='https://www.nbadraft.net/players/darius-days'&gt;SF-PF &lt;/a&gt;&lt;/b&gt;
    - 
    &lt;a target='_blank'href='https://www.sports-reference.com/cbb/players/darius-days-1.html'&gt;LSU&lt;/a&gt;&lt;/b&gt; &lt;/i&gt;&lt;/li&gt;
  &lt;ul style='list-style-type:none'&gt;
    &lt;li&gt;Grade: Senior &lt;/li&gt;
    &lt;li&gt;Age: 22.7 &lt;/li&gt;
    &lt;li&gt;Weight: - lbs &lt;/li&gt;
    &lt;li&gt;Wingspan: 83 in &lt;/li&gt;
  &lt;/ul&gt;
  &lt;br&gt;</v>
      </c>
    </row>
    <row r="76" spans="1:53" ht="22" customHeight="1" x14ac:dyDescent="0.2">
      <c r="A76" t="s">
        <v>338</v>
      </c>
      <c r="B76" t="s">
        <v>14</v>
      </c>
      <c r="C76" s="3" t="s">
        <v>339</v>
      </c>
      <c r="E76" s="9">
        <f t="shared" si="44"/>
        <v>20.803484754200372</v>
      </c>
      <c r="F76" s="7">
        <f t="shared" si="45"/>
        <v>79</v>
      </c>
      <c r="G76" s="7">
        <f t="shared" si="46"/>
        <v>208</v>
      </c>
      <c r="H76" s="7" t="str">
        <f t="shared" si="47"/>
        <v/>
      </c>
      <c r="I76" s="7" t="str">
        <f t="shared" si="48"/>
        <v/>
      </c>
      <c r="J76" s="7" t="str">
        <f t="shared" si="49"/>
        <v/>
      </c>
      <c r="K76" s="9" t="str">
        <f t="shared" si="50"/>
        <v/>
      </c>
      <c r="R76" s="3" t="str">
        <f t="shared" si="55"/>
        <v>HM.</v>
      </c>
      <c r="S76" s="7">
        <f>IFERROR(IF(FLOOR(Q76,1)=FLOOR(Q75,1),S75, MAX(S$5:S75)+1),1)</f>
        <v>6</v>
      </c>
      <c r="T76" s="7">
        <f>IFERROR(INDEX(actual!A:A,MATCH(A76,actual!B:B,FALSE)), "")</f>
        <v>56</v>
      </c>
      <c r="U76" s="7" t="str">
        <f>IFERROR(INDEX(actual!C:C,MATCH(A76,actual!B:B,FALSE)), "")</f>
        <v>CLE</v>
      </c>
      <c r="V76" s="4" t="str">
        <f t="shared" si="58"/>
        <v>https://www.basketball-reference.com/international/players/luke-travers-1.html</v>
      </c>
      <c r="W76" s="4" t="str">
        <f t="shared" si="42"/>
        <v>https://www.nbadraft.net/players/luke-travers</v>
      </c>
      <c r="X76" s="17" t="str">
        <f t="shared" si="59"/>
        <v>https://www.nba.com/draft/2022/prospects/luke-travers</v>
      </c>
      <c r="Y76" s="10">
        <v>37137</v>
      </c>
      <c r="Z76" s="13">
        <f t="shared" si="51"/>
        <v>71</v>
      </c>
      <c r="AA76" s="13">
        <f t="shared" si="52"/>
        <v>82</v>
      </c>
      <c r="AB76" s="13">
        <f t="shared" si="53"/>
        <v>54</v>
      </c>
      <c r="AC76" s="12">
        <f t="shared" si="54"/>
        <v>1274</v>
      </c>
      <c r="AD76" s="20">
        <f t="shared" si="56"/>
        <v>772</v>
      </c>
      <c r="AE76" s="20">
        <f t="shared" si="56"/>
        <v>502</v>
      </c>
      <c r="AF76" s="13">
        <v>56</v>
      </c>
      <c r="AG76" s="13">
        <v>12</v>
      </c>
      <c r="AJ76" s="13">
        <v>50</v>
      </c>
      <c r="AK76" s="13">
        <v>52</v>
      </c>
      <c r="AS76" s="13">
        <v>87</v>
      </c>
      <c r="AT76" s="13">
        <v>7</v>
      </c>
      <c r="AU76" s="13">
        <v>100</v>
      </c>
      <c r="AW76" s="2" t="str">
        <f>IFERROR(INDEX(measureables!$A:$J,MATCH($A76,measureables!$A:$A,FALSE),7), "")</f>
        <v>6' 7''</v>
      </c>
      <c r="AX76" s="2">
        <f>IFERROR(INDEX(measureables!$A:$J,MATCH($A76,measureables!$A:$A,FALSE),9), "")</f>
        <v>208</v>
      </c>
      <c r="AY76" s="2">
        <f>IFERROR(INDEX(measureables!$A:$J,MATCH($A76,measureables!$A:$A,FALSE),10), "")</f>
        <v>0</v>
      </c>
      <c r="AZ76" s="2">
        <f>IFERROR(INDEX(measureables!$A:$J,MATCH($A76,measureables!$A:$A,FALSE),8), "")</f>
        <v>0</v>
      </c>
      <c r="BA76" t="str">
        <f t="shared" si="57"/>
        <v xml:space="preserve">  &lt;li&gt;&lt;b&gt;&lt;a 
    target='_blank' href='https://www.nba.com/draft/2022/prospects/luke-travers'&gt;Luke Travers&lt;/a&gt;&lt;/b&gt;
    - &lt;i&gt;
    &lt;a target='_blank' href='https://www.nbadraft.net/players/luke-travers'&gt;SF &lt;/a&gt;&lt;/b&gt;
    - 
    &lt;a target='_blank'href='https://www.basketball-reference.com/international/players/luke-travers-1.html'&gt;Perth Wildcats&lt;/a&gt;&lt;/b&gt; &lt;/i&gt;&lt;/li&gt;
  &lt;ul style='list-style-type:none'&gt;
    &lt;li&gt;Age: 20.8 &lt;/li&gt;
    &lt;li&gt;Height: 79 in &lt;/li&gt;
    &lt;li&gt;Weight: 208 lbs &lt;/li&gt;
  &lt;/ul&gt;
  &lt;br&gt;</v>
      </c>
    </row>
    <row r="77" spans="1:53" ht="22" customHeight="1" x14ac:dyDescent="0.2">
      <c r="A77" t="s">
        <v>176</v>
      </c>
      <c r="B77" t="s">
        <v>14</v>
      </c>
      <c r="C77" s="3" t="s">
        <v>499</v>
      </c>
      <c r="D77" s="3" t="s">
        <v>73</v>
      </c>
      <c r="E77" s="9">
        <f t="shared" si="44"/>
        <v>22.19509582192596</v>
      </c>
      <c r="F77" s="7">
        <f t="shared" si="45"/>
        <v>77.5</v>
      </c>
      <c r="G77" s="7">
        <f t="shared" si="46"/>
        <v>240.4</v>
      </c>
      <c r="H77" s="7">
        <f t="shared" si="47"/>
        <v>85.25</v>
      </c>
      <c r="I77" s="7">
        <f t="shared" si="48"/>
        <v>105.5</v>
      </c>
      <c r="J77" s="7" t="str">
        <f t="shared" si="49"/>
        <v>+7.75</v>
      </c>
      <c r="K77" s="9">
        <f t="shared" si="50"/>
        <v>1.4428571428571428</v>
      </c>
      <c r="R77" s="3" t="str">
        <f t="shared" si="55"/>
        <v>HM.</v>
      </c>
      <c r="S77" s="7">
        <f>IFERROR(IF(FLOOR(Q77,1)=FLOOR(Q76,1),S76, MAX(S$5:S76)+1),1)</f>
        <v>6</v>
      </c>
      <c r="T77" s="7" t="str">
        <f>IFERROR(INDEX(actual!A:A,MATCH(A77,actual!B:B,FALSE)), "")</f>
        <v/>
      </c>
      <c r="U77" s="7" t="str">
        <f>IFERROR(INDEX(actual!C:C,MATCH(A77,actual!B:B,FALSE)), "")</f>
        <v/>
      </c>
      <c r="V77" s="4" t="str">
        <f t="shared" si="58"/>
        <v>https://www.sports-reference.com/cbb/players/ron-harper-jr.-1.html</v>
      </c>
      <c r="W77" s="4" t="str">
        <f t="shared" si="42"/>
        <v>https://www.nbadraft.net/players/ron-harper-jr.</v>
      </c>
      <c r="X77" s="17" t="str">
        <f t="shared" si="59"/>
        <v>https://www.nba.com/draft/2022/prospects/ron-harper-jr.</v>
      </c>
      <c r="Y77" s="10">
        <v>36628</v>
      </c>
      <c r="Z77" s="13">
        <f t="shared" si="51"/>
        <v>72</v>
      </c>
      <c r="AA77" s="13">
        <f t="shared" si="52"/>
        <v>63</v>
      </c>
      <c r="AB77" s="13">
        <f t="shared" si="53"/>
        <v>77</v>
      </c>
      <c r="AC77" s="12">
        <f t="shared" si="54"/>
        <v>1291</v>
      </c>
      <c r="AD77" s="20">
        <f t="shared" si="56"/>
        <v>688</v>
      </c>
      <c r="AE77" s="20">
        <f t="shared" si="56"/>
        <v>603</v>
      </c>
      <c r="AJ77" s="13">
        <v>79</v>
      </c>
      <c r="AK77" s="13">
        <v>66</v>
      </c>
      <c r="AN77" s="13">
        <v>44</v>
      </c>
      <c r="AO77" s="13">
        <v>4</v>
      </c>
      <c r="AS77" s="13">
        <v>57</v>
      </c>
      <c r="AT77" s="13">
        <v>6</v>
      </c>
      <c r="AU77" s="13">
        <v>57</v>
      </c>
      <c r="AW77" s="2" t="str">
        <f>IFERROR(INDEX(measureables!$A:$J,MATCH($A77,measureables!$A:$A,FALSE),7), "")</f>
        <v>6' 5.50''</v>
      </c>
      <c r="AX77" s="2">
        <f>IFERROR(INDEX(measureables!$A:$J,MATCH($A77,measureables!$A:$A,FALSE),9), "")</f>
        <v>240.4</v>
      </c>
      <c r="AY77" s="2" t="str">
        <f>IFERROR(INDEX(measureables!$A:$J,MATCH($A77,measureables!$A:$A,FALSE),10), "")</f>
        <v>7' 1.25''</v>
      </c>
      <c r="AZ77" s="2" t="str">
        <f>IFERROR(INDEX(measureables!$A:$J,MATCH($A77,measureables!$A:$A,FALSE),8), "")</f>
        <v>8' 9.50''</v>
      </c>
      <c r="BA77" t="str">
        <f t="shared" si="57"/>
        <v xml:space="preserve">  &lt;li&gt;&lt;b&gt;&lt;a 
    target='_blank' href='https://www.nba.com/draft/2022/prospects/ron-harper-jr.'&gt;Ron Harper Jr.&lt;/a&gt;&lt;/b&gt;
    - &lt;i&gt;
    &lt;a target='_blank' href='https://www.nbadraft.net/players/ron-harper-jr.'&gt;SF &lt;/a&gt;&lt;/b&gt;
    - 
    &lt;a target='_blank'href='https://www.sports-reference.com/cbb/players/ron-harper-jr.-1.html'&gt;Rutgers&lt;/a&gt;&lt;/b&gt; &lt;/i&gt;&lt;/li&gt;
  &lt;ul style='list-style-type:none'&gt;
    &lt;li&gt;Grade: Senior &lt;/li&gt;
    &lt;li&gt;Age: 22.2 &lt;/li&gt;
    &lt;li&gt;Height: 77.5 in &lt;/li&gt;
    &lt;li&gt;Weight: 240.4 lbs &lt;/li&gt;
    &lt;li&gt;Wingspan: 85.25 in &lt;/li&gt;
    &lt;li&gt;Reach: 105.5 in &lt;/li&gt;
    &lt;li&gt;Ape: +7.75 &lt;/li&gt;
  &lt;/ul&gt;
  &lt;br&gt;</v>
      </c>
    </row>
    <row r="78" spans="1:53" ht="22" customHeight="1" x14ac:dyDescent="0.2">
      <c r="A78" t="s">
        <v>217</v>
      </c>
      <c r="B78" t="s">
        <v>16</v>
      </c>
      <c r="C78" s="3" t="s">
        <v>319</v>
      </c>
      <c r="E78" s="9">
        <f t="shared" si="44"/>
        <v>21.159427504667079</v>
      </c>
      <c r="F78" s="7">
        <f t="shared" si="45"/>
        <v>77.75</v>
      </c>
      <c r="G78" s="7">
        <f t="shared" si="46"/>
        <v>180.4</v>
      </c>
      <c r="H78" s="7">
        <f t="shared" si="47"/>
        <v>77.5</v>
      </c>
      <c r="I78" s="7">
        <f t="shared" si="48"/>
        <v>102</v>
      </c>
      <c r="J78" s="7" t="str">
        <f t="shared" si="49"/>
        <v>-0.25</v>
      </c>
      <c r="K78" s="9">
        <f t="shared" si="50"/>
        <v>0.9859154929577465</v>
      </c>
      <c r="R78" s="3" t="str">
        <f t="shared" si="55"/>
        <v>HM.</v>
      </c>
      <c r="S78" s="7">
        <f>IFERROR(IF(FLOOR(Q78,1)=FLOOR(Q77,1),S77, MAX(S$5:S77)+1),1)</f>
        <v>6</v>
      </c>
      <c r="T78" s="7">
        <f>IFERROR(INDEX(actual!A:A,MATCH(A78,actual!B:B,FALSE)), "")</f>
        <v>58</v>
      </c>
      <c r="U78" s="7" t="str">
        <f>IFERROR(INDEX(actual!C:C,MATCH(A78,actual!B:B,FALSE)), "")</f>
        <v>MIL</v>
      </c>
      <c r="V78" s="4" t="str">
        <f t="shared" si="58"/>
        <v>https://www.basketball-reference.com/international/players/hugo-besson-1.html</v>
      </c>
      <c r="W78" s="4" t="str">
        <f t="shared" si="42"/>
        <v>https://www.nbadraft.net/players/hugo-besson</v>
      </c>
      <c r="X78" s="17" t="str">
        <f t="shared" si="59"/>
        <v>https://www.nba.com/draft/2022/prospects/hugo-besson</v>
      </c>
      <c r="Y78" s="10">
        <v>37007</v>
      </c>
      <c r="Z78" s="13">
        <f t="shared" si="51"/>
        <v>73</v>
      </c>
      <c r="AA78" s="13">
        <f t="shared" si="52"/>
        <v>69</v>
      </c>
      <c r="AB78" s="13">
        <f t="shared" si="53"/>
        <v>72</v>
      </c>
      <c r="AC78" s="12">
        <f t="shared" si="54"/>
        <v>1303</v>
      </c>
      <c r="AD78" s="20">
        <f t="shared" si="56"/>
        <v>714</v>
      </c>
      <c r="AE78" s="20">
        <f t="shared" si="56"/>
        <v>589</v>
      </c>
      <c r="AJ78" s="13">
        <v>82</v>
      </c>
      <c r="AK78" s="13">
        <v>51</v>
      </c>
      <c r="AL78" s="13">
        <v>32</v>
      </c>
      <c r="AP78" s="13">
        <v>62</v>
      </c>
      <c r="AQ78" s="13">
        <v>6</v>
      </c>
      <c r="AR78" s="13">
        <v>38</v>
      </c>
      <c r="AS78" s="13">
        <v>71</v>
      </c>
      <c r="AT78" s="13">
        <v>6</v>
      </c>
      <c r="AU78" s="13">
        <v>41</v>
      </c>
      <c r="AW78" s="2" t="str">
        <f>IFERROR(INDEX(measureables!$A:$J,MATCH($A78,measureables!$A:$A,FALSE),7), "")</f>
        <v>6' 5.75''</v>
      </c>
      <c r="AX78" s="2">
        <f>IFERROR(INDEX(measureables!$A:$J,MATCH($A78,measureables!$A:$A,FALSE),9), "")</f>
        <v>180.4</v>
      </c>
      <c r="AY78" s="2" t="str">
        <f>IFERROR(INDEX(measureables!$A:$J,MATCH($A78,measureables!$A:$A,FALSE),10), "")</f>
        <v>6' 5.50''</v>
      </c>
      <c r="AZ78" s="2" t="str">
        <f>IFERROR(INDEX(measureables!$A:$J,MATCH($A78,measureables!$A:$A,FALSE),8), "")</f>
        <v>8' 6.00''</v>
      </c>
      <c r="BA78" t="str">
        <f t="shared" si="57"/>
        <v xml:space="preserve">  &lt;li&gt;&lt;b&gt;&lt;a 
    target='_blank' href='https://www.nba.com/draft/2022/prospects/hugo-besson'&gt;Hugo Besson&lt;/a&gt;&lt;/b&gt;
    - &lt;i&gt;
    &lt;a target='_blank' href='https://www.nbadraft.net/players/hugo-besson'&gt;SG &lt;/a&gt;&lt;/b&gt;
    - 
    &lt;a target='_blank'href='https://www.basketball-reference.com/international/players/hugo-besson-1.html'&gt;New Zeland Breakers&lt;/a&gt;&lt;/b&gt; &lt;/i&gt;&lt;/li&gt;
  &lt;ul style='list-style-type:none'&gt;
    &lt;li&gt;Age: 21.2 &lt;/li&gt;
    &lt;li&gt;Height: 77.75 in &lt;/li&gt;
    &lt;li&gt;Weight: 180.4 lbs &lt;/li&gt;
    &lt;li&gt;Wingspan: 77.5 in &lt;/li&gt;
    &lt;li&gt;Reach: 102 in &lt;/li&gt;
    &lt;li&gt;Ape: -0.25 &lt;/li&gt;
  &lt;/ul&gt;
  &lt;br&gt;</v>
      </c>
    </row>
    <row r="79" spans="1:53" ht="22" customHeight="1" x14ac:dyDescent="0.2">
      <c r="A79" t="s">
        <v>351</v>
      </c>
      <c r="B79" t="s">
        <v>14</v>
      </c>
      <c r="C79" s="3" t="s">
        <v>350</v>
      </c>
      <c r="D79" s="3" t="s">
        <v>72</v>
      </c>
      <c r="E79" s="9">
        <f t="shared" si="44"/>
        <v>21.663968575169623</v>
      </c>
      <c r="F79" s="7">
        <f t="shared" si="45"/>
        <v>79</v>
      </c>
      <c r="G79" s="7">
        <f t="shared" si="46"/>
        <v>210</v>
      </c>
      <c r="H79" s="7" t="str">
        <f t="shared" si="47"/>
        <v/>
      </c>
      <c r="I79" s="7" t="str">
        <f t="shared" si="48"/>
        <v/>
      </c>
      <c r="J79" s="7" t="str">
        <f t="shared" si="49"/>
        <v/>
      </c>
      <c r="K79" s="9" t="str">
        <f t="shared" si="50"/>
        <v/>
      </c>
      <c r="R79" s="3" t="str">
        <f t="shared" si="55"/>
        <v>HM.</v>
      </c>
      <c r="S79" s="7">
        <f>IFERROR(IF(FLOOR(Q79,1)=FLOOR(Q78,1),S78, MAX(S$5:S78)+1),1)</f>
        <v>6</v>
      </c>
      <c r="T79" s="7" t="str">
        <f>IFERROR(INDEX(actual!A:A,MATCH(A79,actual!B:B,FALSE)), "")</f>
        <v/>
      </c>
      <c r="U79" s="7" t="str">
        <f>IFERROR(INDEX(actual!C:C,MATCH(A79,actual!B:B,FALSE)), "")</f>
        <v/>
      </c>
      <c r="V79" s="4" t="str">
        <f t="shared" si="58"/>
        <v>https://www.sports-reference.com/cbb/players/hyunjung-lee-1.html</v>
      </c>
      <c r="W79" s="4" t="str">
        <f t="shared" si="42"/>
        <v>https://www.nbadraft.net/players/hyunjung-lee</v>
      </c>
      <c r="X79" s="17" t="str">
        <f t="shared" si="59"/>
        <v>https://www.nba.com/draft/2022/prospects/hyunjung-lee</v>
      </c>
      <c r="Y79" s="10">
        <v>36822</v>
      </c>
      <c r="Z79" s="13">
        <f t="shared" si="51"/>
        <v>74</v>
      </c>
      <c r="AA79" s="13">
        <f t="shared" si="52"/>
        <v>79</v>
      </c>
      <c r="AB79" s="13">
        <f t="shared" si="53"/>
        <v>64</v>
      </c>
      <c r="AC79" s="12">
        <f t="shared" si="54"/>
        <v>1305</v>
      </c>
      <c r="AD79" s="20">
        <f t="shared" si="56"/>
        <v>761</v>
      </c>
      <c r="AE79" s="20">
        <f t="shared" si="56"/>
        <v>544</v>
      </c>
      <c r="AF79" s="13">
        <v>67</v>
      </c>
      <c r="AG79" s="13">
        <v>13</v>
      </c>
      <c r="AH79" s="13">
        <v>47</v>
      </c>
      <c r="AI79" s="13">
        <v>23</v>
      </c>
      <c r="AJ79" s="13">
        <v>70</v>
      </c>
      <c r="AK79" s="13">
        <v>60</v>
      </c>
      <c r="AS79" s="13">
        <v>64</v>
      </c>
      <c r="AT79" s="13">
        <v>6</v>
      </c>
      <c r="AU79" s="13">
        <v>89</v>
      </c>
      <c r="AW79" s="2" t="str">
        <f>IFERROR(INDEX(measureables!$A:$J,MATCH($A79,measureables!$A:$A,FALSE),7), "")</f>
        <v>6' 7''</v>
      </c>
      <c r="AX79" s="2">
        <f>IFERROR(INDEX(measureables!$A:$J,MATCH($A79,measureables!$A:$A,FALSE),9), "")</f>
        <v>210</v>
      </c>
      <c r="AY79" s="2">
        <f>IFERROR(INDEX(measureables!$A:$J,MATCH($A79,measureables!$A:$A,FALSE),10), "")</f>
        <v>0</v>
      </c>
      <c r="AZ79" s="2">
        <f>IFERROR(INDEX(measureables!$A:$J,MATCH($A79,measureables!$A:$A,FALSE),8), "")</f>
        <v>0</v>
      </c>
      <c r="BA79" t="str">
        <f t="shared" si="57"/>
        <v xml:space="preserve">  &lt;li&gt;&lt;b&gt;&lt;a 
    target='_blank' href='https://www.nba.com/draft/2022/prospects/hyunjung-lee'&gt;Hyunjung Lee&lt;/a&gt;&lt;/b&gt;
    - &lt;i&gt;
    &lt;a target='_blank' href='https://www.nbadraft.net/players/hyunjung-lee'&gt;SF &lt;/a&gt;&lt;/b&gt;
    - 
    &lt;a target='_blank'href='https://www.sports-reference.com/cbb/players/hyunjung-lee-1.html'&gt;Davidson&lt;/a&gt;&lt;/b&gt; &lt;/i&gt;&lt;/li&gt;
  &lt;ul style='list-style-type:none'&gt;
    &lt;li&gt;Grade: Junior &lt;/li&gt;
    &lt;li&gt;Age: 21.7 &lt;/li&gt;
    &lt;li&gt;Height: 79 in &lt;/li&gt;
    &lt;li&gt;Weight: 210 lbs &lt;/li&gt;
  &lt;/ul&gt;
  &lt;br&gt;</v>
      </c>
    </row>
    <row r="80" spans="1:53" ht="22" customHeight="1" x14ac:dyDescent="0.2">
      <c r="A80" t="s">
        <v>370</v>
      </c>
      <c r="B80" t="s">
        <v>12</v>
      </c>
      <c r="C80" t="s">
        <v>498</v>
      </c>
      <c r="E80" s="9">
        <f t="shared" si="44"/>
        <v>18.603696098562629</v>
      </c>
      <c r="F80" s="7" t="str">
        <f t="shared" si="45"/>
        <v/>
      </c>
      <c r="G80" s="7" t="str">
        <f t="shared" si="46"/>
        <v/>
      </c>
      <c r="H80" s="7" t="str">
        <f t="shared" si="47"/>
        <v/>
      </c>
      <c r="I80" s="7" t="str">
        <f t="shared" si="48"/>
        <v/>
      </c>
      <c r="J80" s="7" t="str">
        <f t="shared" si="49"/>
        <v/>
      </c>
      <c r="K80" s="9" t="str">
        <f t="shared" si="50"/>
        <v/>
      </c>
      <c r="R80" s="3" t="str">
        <f t="shared" si="55"/>
        <v>HM.</v>
      </c>
      <c r="S80" s="7">
        <f>IFERROR(IF(FLOOR(Q80,1)=FLOOR(Q79,1),S79, MAX(S$5:S79)+1),1)</f>
        <v>6</v>
      </c>
      <c r="T80" s="7">
        <f>IFERROR(INDEX(actual!A:A,MATCH(A80,actual!B:B,FALSE)), "")</f>
        <v>54</v>
      </c>
      <c r="U80" s="7" t="str">
        <f>IFERROR(INDEX(actual!C:C,MATCH(A80,actual!B:B,FALSE)), "")</f>
        <v>WAS</v>
      </c>
      <c r="V80" s="4" t="str">
        <f t="shared" si="58"/>
        <v>https://www.basketball-reference.com/international/players/yannick-nzosa-1.html</v>
      </c>
      <c r="W80" s="4" t="str">
        <f t="shared" si="42"/>
        <v>https://www.nbadraft.net/players/yannick-nzosa</v>
      </c>
      <c r="X80" s="17" t="str">
        <f t="shared" si="59"/>
        <v>https://www.nba.com/draft/2022/prospects/yannick-nzosa</v>
      </c>
      <c r="Y80" s="10">
        <v>37940</v>
      </c>
      <c r="Z80" s="13">
        <f t="shared" si="51"/>
        <v>75</v>
      </c>
      <c r="AA80" s="13">
        <f t="shared" si="52"/>
        <v>75</v>
      </c>
      <c r="AB80" s="13">
        <f t="shared" si="53"/>
        <v>67</v>
      </c>
      <c r="AC80" s="12">
        <f t="shared" si="54"/>
        <v>1318</v>
      </c>
      <c r="AD80" s="20">
        <f t="shared" si="56"/>
        <v>751</v>
      </c>
      <c r="AE80" s="20">
        <f t="shared" si="56"/>
        <v>567</v>
      </c>
      <c r="AH80" s="13">
        <v>43</v>
      </c>
      <c r="AJ80" s="13">
        <v>67</v>
      </c>
      <c r="AK80" s="13">
        <v>94</v>
      </c>
      <c r="AS80" s="13">
        <v>72</v>
      </c>
      <c r="AT80" s="13">
        <v>6</v>
      </c>
      <c r="AU80" s="13">
        <v>53</v>
      </c>
      <c r="AW80" s="2" t="str">
        <f>IFERROR(INDEX(measureables!$A:$J,MATCH($A80,measureables!$A:$A,FALSE),7), "")</f>
        <v/>
      </c>
      <c r="AX80" s="2" t="str">
        <f>IFERROR(INDEX(measureables!$A:$J,MATCH($A80,measureables!$A:$A,FALSE),9), "")</f>
        <v/>
      </c>
      <c r="AY80" s="2" t="str">
        <f>IFERROR(INDEX(measureables!$A:$J,MATCH($A80,measureables!$A:$A,FALSE),10), "")</f>
        <v/>
      </c>
      <c r="AZ80" s="2" t="str">
        <f>IFERROR(INDEX(measureables!$A:$J,MATCH($A80,measureables!$A:$A,FALSE),8), "")</f>
        <v/>
      </c>
      <c r="BA80" t="str">
        <f t="shared" si="57"/>
        <v xml:space="preserve">  &lt;li&gt;&lt;b&gt;&lt;a 
    target='_blank' href='https://www.nba.com/draft/2022/prospects/yannick-nzosa'&gt;Yannick Nzosa&lt;/a&gt;&lt;/b&gt;
    - &lt;i&gt;
    &lt;a target='_blank' href='https://www.nbadraft.net/players/yannick-nzosa'&gt;C &lt;/a&gt;&lt;/b&gt;
    - 
    &lt;a target='_blank'href='https://www.basketball-reference.com/international/players/yannick-nzosa-1.html'&gt;Unicaja&lt;/a&gt;&lt;/b&gt; &lt;/i&gt;&lt;/li&gt;
  &lt;ul style='list-style-type:none'&gt;
    &lt;li&gt;Age: 18.6 &lt;/li&gt;
  &lt;/ul&gt;
  &lt;br&gt;
  &lt;/ol&gt;
&lt;!-- # end of rankings --&gt;
</v>
      </c>
    </row>
    <row r="81" spans="1:53" ht="22" customHeight="1" x14ac:dyDescent="0.2">
      <c r="A81" t="s">
        <v>373</v>
      </c>
      <c r="B81" t="s">
        <v>14</v>
      </c>
      <c r="E81" s="9">
        <f t="shared" si="44"/>
        <v>122.47979966611018</v>
      </c>
      <c r="F81" s="7" t="str">
        <f t="shared" si="45"/>
        <v/>
      </c>
      <c r="G81" s="7" t="str">
        <f t="shared" si="46"/>
        <v/>
      </c>
      <c r="H81" s="7" t="str">
        <f t="shared" si="47"/>
        <v/>
      </c>
      <c r="I81" s="7" t="str">
        <f t="shared" si="48"/>
        <v/>
      </c>
      <c r="J81" s="7" t="str">
        <f t="shared" si="49"/>
        <v/>
      </c>
      <c r="K81" s="9" t="str">
        <f t="shared" si="50"/>
        <v/>
      </c>
      <c r="Q81" s="19">
        <v>-1</v>
      </c>
      <c r="R81" s="3" t="str">
        <f t="shared" si="55"/>
        <v/>
      </c>
      <c r="S81" s="7">
        <f>IFERROR(IF(FLOOR(Q81,1)=FLOOR(Q80,1),S80, MAX(S$5:S80)+1),1)</f>
        <v>7</v>
      </c>
      <c r="T81" s="7">
        <f>IFERROR(INDEX(actual!A:A,MATCH(A81,actual!B:B,FALSE)), "")</f>
        <v>47</v>
      </c>
      <c r="U81" s="7" t="str">
        <f>IFERROR(INDEX(actual!C:C,MATCH(A81,actual!B:B,FALSE)), "")</f>
        <v>MEM</v>
      </c>
      <c r="V81" s="4" t="str">
        <f t="shared" si="58"/>
        <v>https://www.basketball-reference.com/international/players/vince-williams-jr.-1.html</v>
      </c>
      <c r="W81" s="4" t="str">
        <f t="shared" si="42"/>
        <v>https://www.nbadraft.net/players/vince-williams-jr.</v>
      </c>
      <c r="X81" s="17" t="str">
        <f t="shared" si="59"/>
        <v>https://www.nba.com/draft/2022/prospects/vince-williams-jr.</v>
      </c>
      <c r="Z81" s="13">
        <f t="shared" si="51"/>
        <v>76</v>
      </c>
      <c r="AA81" s="13">
        <f t="shared" si="52"/>
        <v>66</v>
      </c>
      <c r="AB81" s="13">
        <f t="shared" si="53"/>
        <v>80</v>
      </c>
      <c r="AC81" s="12">
        <f t="shared" si="54"/>
        <v>1323</v>
      </c>
      <c r="AD81" s="20">
        <f t="shared" si="56"/>
        <v>698</v>
      </c>
      <c r="AE81" s="20">
        <f t="shared" si="56"/>
        <v>625</v>
      </c>
      <c r="AJ81" s="13">
        <v>85</v>
      </c>
      <c r="AK81" s="13">
        <v>70</v>
      </c>
      <c r="AN81" s="13">
        <v>62</v>
      </c>
      <c r="AO81" s="13">
        <v>5</v>
      </c>
      <c r="AP81" s="13">
        <v>49</v>
      </c>
      <c r="AQ81" s="13">
        <v>5</v>
      </c>
      <c r="AS81" s="13">
        <v>61</v>
      </c>
      <c r="AT81" s="13">
        <v>6</v>
      </c>
      <c r="AU81" s="13">
        <v>76</v>
      </c>
      <c r="AW81" s="2" t="str">
        <f>IFERROR(INDEX(measureables!$A:$J,MATCH($A81,measureables!$A:$A,FALSE),7), "")</f>
        <v/>
      </c>
      <c r="AX81" s="2" t="str">
        <f>IFERROR(INDEX(measureables!$A:$J,MATCH($A81,measureables!$A:$A,FALSE),9), "")</f>
        <v/>
      </c>
      <c r="AY81" s="2" t="str">
        <f>IFERROR(INDEX(measureables!$A:$J,MATCH($A81,measureables!$A:$A,FALSE),10), "")</f>
        <v/>
      </c>
      <c r="AZ81" s="2" t="str">
        <f>IFERROR(INDEX(measureables!$A:$J,MATCH($A81,measureables!$A:$A,FALSE),8), "")</f>
        <v/>
      </c>
      <c r="BA81" t="str">
        <f t="shared" si="57"/>
        <v>Vince Williams Jr.</v>
      </c>
    </row>
    <row r="82" spans="1:53" ht="22" customHeight="1" x14ac:dyDescent="0.2">
      <c r="A82" t="s">
        <v>144</v>
      </c>
      <c r="B82" t="s">
        <v>13</v>
      </c>
      <c r="C82" s="3" t="s">
        <v>317</v>
      </c>
      <c r="E82" s="9">
        <f t="shared" si="44"/>
        <v>19.244353182751539</v>
      </c>
      <c r="F82" s="7">
        <f t="shared" si="45"/>
        <v>81.75</v>
      </c>
      <c r="G82" s="7">
        <f t="shared" si="46"/>
        <v>221</v>
      </c>
      <c r="H82" s="7">
        <f t="shared" si="47"/>
        <v>87</v>
      </c>
      <c r="I82" s="7">
        <f t="shared" si="48"/>
        <v>108.5</v>
      </c>
      <c r="J82" s="7" t="str">
        <f t="shared" si="49"/>
        <v>+5.25</v>
      </c>
      <c r="K82" s="9">
        <f t="shared" si="50"/>
        <v>1.2413793103448276</v>
      </c>
      <c r="M82" s="3" t="s">
        <v>385</v>
      </c>
      <c r="Q82" s="19">
        <v>-1</v>
      </c>
      <c r="R82" s="3" t="str">
        <f t="shared" si="55"/>
        <v/>
      </c>
      <c r="S82" s="7">
        <f>IFERROR(IF(FLOOR(Q82,1)=FLOOR(Q81,1),S81, MAX(S$5:S81)+1),1)</f>
        <v>7</v>
      </c>
      <c r="T82" s="7" t="str">
        <f>IFERROR(INDEX(actual!A:A,MATCH(A82,actual!B:B,FALSE)), "")</f>
        <v/>
      </c>
      <c r="U82" s="7" t="str">
        <f>IFERROR(INDEX(actual!C:C,MATCH(A82,actual!B:B,FALSE)), "")</f>
        <v/>
      </c>
      <c r="V82" s="16" t="s">
        <v>340</v>
      </c>
      <c r="W82" s="4" t="str">
        <f t="shared" si="42"/>
        <v>https://www.nbadraft.net/players/dominick-barlow</v>
      </c>
      <c r="X82" s="17" t="str">
        <f t="shared" si="59"/>
        <v>https://www.nba.com/draft/2022/prospects/dominick-barlow</v>
      </c>
      <c r="Y82" s="10">
        <v>37706</v>
      </c>
      <c r="Z82" s="13">
        <f t="shared" si="51"/>
        <v>77</v>
      </c>
      <c r="AA82" s="13">
        <f t="shared" si="52"/>
        <v>55</v>
      </c>
      <c r="AB82" s="13">
        <f t="shared" si="53"/>
        <v>98</v>
      </c>
      <c r="AC82" s="12">
        <f t="shared" si="54"/>
        <v>1325</v>
      </c>
      <c r="AD82" s="20">
        <f t="shared" si="56"/>
        <v>622</v>
      </c>
      <c r="AE82" s="20">
        <f t="shared" si="56"/>
        <v>703</v>
      </c>
      <c r="AF82" s="13">
        <v>57</v>
      </c>
      <c r="AG82" s="13">
        <v>12</v>
      </c>
      <c r="AN82" s="13">
        <v>61</v>
      </c>
      <c r="AO82" s="13">
        <v>5</v>
      </c>
      <c r="AP82" s="13">
        <v>54</v>
      </c>
      <c r="AQ82" s="13">
        <v>6</v>
      </c>
      <c r="AS82" s="13">
        <v>45</v>
      </c>
      <c r="AT82" s="13">
        <v>5</v>
      </c>
      <c r="AU82" s="13">
        <v>48</v>
      </c>
      <c r="AW82" s="2" t="str">
        <f>IFERROR(INDEX(measureables!$A:$J,MATCH($A82,measureables!$A:$A,FALSE),7), "")</f>
        <v>6' 9.75''</v>
      </c>
      <c r="AX82" s="2">
        <f>IFERROR(INDEX(measureables!$A:$J,MATCH($A82,measureables!$A:$A,FALSE),9), "")</f>
        <v>221</v>
      </c>
      <c r="AY82" s="2" t="str">
        <f>IFERROR(INDEX(measureables!$A:$J,MATCH($A82,measureables!$A:$A,FALSE),10), "")</f>
        <v>7' 3.00''</v>
      </c>
      <c r="AZ82" s="2" t="str">
        <f>IFERROR(INDEX(measureables!$A:$J,MATCH($A82,measureables!$A:$A,FALSE),8), "")</f>
        <v>9' 0.50''</v>
      </c>
      <c r="BA82" t="str">
        <f t="shared" si="57"/>
        <v>Dominick Barlow</v>
      </c>
    </row>
    <row r="83" spans="1:53" ht="22" customHeight="1" x14ac:dyDescent="0.2">
      <c r="A83" t="s">
        <v>342</v>
      </c>
      <c r="B83" t="s">
        <v>15</v>
      </c>
      <c r="C83" s="3" t="s">
        <v>343</v>
      </c>
      <c r="D83" s="3" t="s">
        <v>73</v>
      </c>
      <c r="E83" s="9">
        <f t="shared" si="44"/>
        <v>22.989733059548254</v>
      </c>
      <c r="F83" s="7">
        <f t="shared" si="45"/>
        <v>79</v>
      </c>
      <c r="G83" s="7">
        <f t="shared" si="46"/>
        <v>208</v>
      </c>
      <c r="H83" s="7" t="str">
        <f t="shared" si="47"/>
        <v/>
      </c>
      <c r="I83" s="7" t="str">
        <f t="shared" si="48"/>
        <v/>
      </c>
      <c r="J83" s="7" t="str">
        <f t="shared" si="49"/>
        <v/>
      </c>
      <c r="K83" s="9" t="str">
        <f t="shared" si="50"/>
        <v/>
      </c>
      <c r="N83" s="3" t="s">
        <v>385</v>
      </c>
      <c r="Q83" s="19">
        <v>-1</v>
      </c>
      <c r="R83" s="3" t="str">
        <f t="shared" si="55"/>
        <v/>
      </c>
      <c r="S83" s="7">
        <f>IFERROR(IF(FLOOR(Q83,1)=FLOOR(Q82,1),S82, MAX(S$5:S82)+1),1)</f>
        <v>7</v>
      </c>
      <c r="T83" s="7" t="str">
        <f>IFERROR(INDEX(actual!A:A,MATCH(A83,actual!B:B,FALSE)), "")</f>
        <v/>
      </c>
      <c r="U83" s="7" t="str">
        <f>IFERROR(INDEX(actual!C:C,MATCH(A83,actual!B:B,FALSE)), "")</f>
        <v/>
      </c>
      <c r="V83" s="4" t="str">
        <f t="shared" ref="V83:V105" si="60">HYPERLINK(IF(D83="", "https://www.basketball-reference.com/international", "https://www.sports-reference.com/cbb") &amp; "/players/" &amp; LOWER(SUBSTITUTE(A83, " ", "-") &amp; "-1.html"))</f>
        <v>https://www.sports-reference.com/cbb/players/jamaree-bouyea-1.html</v>
      </c>
      <c r="W83" s="4" t="str">
        <f t="shared" si="42"/>
        <v>https://www.nbadraft.net/players/jamaree-bouyea</v>
      </c>
      <c r="X83" s="17" t="str">
        <f t="shared" si="59"/>
        <v>https://www.nba.com/draft/2022/prospects/jamaree-bouyea</v>
      </c>
      <c r="Y83" s="10">
        <v>36338</v>
      </c>
      <c r="Z83" s="13">
        <f t="shared" si="51"/>
        <v>78</v>
      </c>
      <c r="AA83" s="13">
        <f t="shared" si="52"/>
        <v>61</v>
      </c>
      <c r="AB83" s="13">
        <f t="shared" si="53"/>
        <v>85</v>
      </c>
      <c r="AC83" s="12">
        <f t="shared" si="54"/>
        <v>1328</v>
      </c>
      <c r="AD83" s="20">
        <f t="shared" si="56"/>
        <v>669</v>
      </c>
      <c r="AE83" s="20">
        <f t="shared" si="56"/>
        <v>659</v>
      </c>
      <c r="AF83" s="13">
        <v>59</v>
      </c>
      <c r="AG83" s="13">
        <v>12</v>
      </c>
      <c r="AJ83" s="13">
        <v>93</v>
      </c>
      <c r="AK83" s="13">
        <v>80</v>
      </c>
      <c r="AN83" s="13">
        <v>47</v>
      </c>
      <c r="AO83" s="13">
        <v>4</v>
      </c>
      <c r="AP83" s="13">
        <v>59</v>
      </c>
      <c r="AQ83" s="13">
        <v>6</v>
      </c>
      <c r="AS83" s="13">
        <v>77</v>
      </c>
      <c r="AT83" s="13">
        <v>6</v>
      </c>
      <c r="AU83" s="13">
        <v>79</v>
      </c>
      <c r="AW83" s="2" t="str">
        <f>IFERROR(INDEX(measureables!$A:$J,MATCH($A83,measureables!$A:$A,FALSE),7), "")</f>
        <v>6' 7''</v>
      </c>
      <c r="AX83" s="2">
        <f>IFERROR(INDEX(measureables!$A:$J,MATCH($A83,measureables!$A:$A,FALSE),9), "")</f>
        <v>208</v>
      </c>
      <c r="AY83" s="2">
        <f>IFERROR(INDEX(measureables!$A:$J,MATCH($A83,measureables!$A:$A,FALSE),10), "")</f>
        <v>0</v>
      </c>
      <c r="AZ83" s="2">
        <f>IFERROR(INDEX(measureables!$A:$J,MATCH($A83,measureables!$A:$A,FALSE),8), "")</f>
        <v>0</v>
      </c>
      <c r="BA83" t="str">
        <f t="shared" si="57"/>
        <v>Jamaree Bouyea</v>
      </c>
    </row>
    <row r="84" spans="1:53" ht="22" customHeight="1" x14ac:dyDescent="0.2">
      <c r="A84" t="s">
        <v>348</v>
      </c>
      <c r="B84" t="s">
        <v>16</v>
      </c>
      <c r="C84" s="3" t="s">
        <v>349</v>
      </c>
      <c r="D84" s="3" t="s">
        <v>73</v>
      </c>
      <c r="E84" s="9">
        <f t="shared" si="44"/>
        <v>23.748767933413646</v>
      </c>
      <c r="F84" s="7">
        <f t="shared" si="45"/>
        <v>77</v>
      </c>
      <c r="G84" s="7">
        <f t="shared" si="46"/>
        <v>175</v>
      </c>
      <c r="H84" s="7" t="str">
        <f t="shared" si="47"/>
        <v/>
      </c>
      <c r="I84" s="7" t="str">
        <f t="shared" si="48"/>
        <v/>
      </c>
      <c r="J84" s="7" t="str">
        <f t="shared" si="49"/>
        <v/>
      </c>
      <c r="K84" s="9" t="str">
        <f t="shared" si="50"/>
        <v/>
      </c>
      <c r="O84" s="3" t="s">
        <v>385</v>
      </c>
      <c r="Q84" s="19">
        <v>-1</v>
      </c>
      <c r="R84" s="3" t="str">
        <f t="shared" si="55"/>
        <v/>
      </c>
      <c r="S84" s="7">
        <f>IFERROR(IF(FLOOR(Q84,1)=FLOOR(Q83,1),S83, MAX(S$5:S83)+1),1)</f>
        <v>7</v>
      </c>
      <c r="T84" s="7" t="str">
        <f>IFERROR(INDEX(actual!A:A,MATCH(A84,actual!B:B,FALSE)), "")</f>
        <v/>
      </c>
      <c r="U84" s="7" t="str">
        <f>IFERROR(INDEX(actual!C:C,MATCH(A84,actual!B:B,FALSE)), "")</f>
        <v/>
      </c>
      <c r="V84" s="4" t="str">
        <f t="shared" si="60"/>
        <v>https://www.sports-reference.com/cbb/players/tevin-brown-1.html</v>
      </c>
      <c r="W84" s="4" t="str">
        <f t="shared" si="42"/>
        <v>https://www.nbadraft.net/players/tevin-brown</v>
      </c>
      <c r="X84" s="17" t="str">
        <f t="shared" si="59"/>
        <v>https://www.nba.com/draft/2022/prospects/tevin-brown</v>
      </c>
      <c r="Y84" s="10">
        <v>36061</v>
      </c>
      <c r="Z84" s="13">
        <f t="shared" si="51"/>
        <v>79</v>
      </c>
      <c r="AA84" s="13">
        <f t="shared" si="52"/>
        <v>81</v>
      </c>
      <c r="AB84" s="13">
        <f t="shared" si="53"/>
        <v>71</v>
      </c>
      <c r="AC84" s="12">
        <f t="shared" si="54"/>
        <v>1341</v>
      </c>
      <c r="AD84" s="20">
        <f t="shared" si="56"/>
        <v>765</v>
      </c>
      <c r="AE84" s="20">
        <f t="shared" si="56"/>
        <v>576</v>
      </c>
      <c r="AF84" s="13">
        <v>66</v>
      </c>
      <c r="AG84" s="13">
        <v>13</v>
      </c>
      <c r="AJ84" s="13">
        <v>61</v>
      </c>
      <c r="AK84" s="13">
        <v>93</v>
      </c>
      <c r="AS84" s="13">
        <v>85</v>
      </c>
      <c r="AT84" s="13">
        <v>7</v>
      </c>
      <c r="AU84" s="13">
        <v>72</v>
      </c>
      <c r="AW84" s="2" t="str">
        <f>IFERROR(INDEX(measureables!$A:$J,MATCH($A84,measureables!$A:$A,FALSE),7), "")</f>
        <v>6' 5''</v>
      </c>
      <c r="AX84" s="2">
        <f>IFERROR(INDEX(measureables!$A:$J,MATCH($A84,measureables!$A:$A,FALSE),9), "")</f>
        <v>175</v>
      </c>
      <c r="AY84" s="2">
        <f>IFERROR(INDEX(measureables!$A:$J,MATCH($A84,measureables!$A:$A,FALSE),10), "")</f>
        <v>0</v>
      </c>
      <c r="AZ84" s="2">
        <f>IFERROR(INDEX(measureables!$A:$J,MATCH($A84,measureables!$A:$A,FALSE),8), "")</f>
        <v>0</v>
      </c>
      <c r="BA84" t="str">
        <f t="shared" si="57"/>
        <v>Tevin Brown</v>
      </c>
    </row>
    <row r="85" spans="1:53" ht="22" customHeight="1" x14ac:dyDescent="0.2">
      <c r="A85" t="s">
        <v>49</v>
      </c>
      <c r="B85" t="s">
        <v>16</v>
      </c>
      <c r="E85" s="9">
        <f t="shared" si="44"/>
        <v>122.47979966611018</v>
      </c>
      <c r="F85" s="7">
        <f t="shared" si="45"/>
        <v>78.5</v>
      </c>
      <c r="G85" s="7">
        <f t="shared" si="46"/>
        <v>208.6</v>
      </c>
      <c r="H85" s="7">
        <f t="shared" si="47"/>
        <v>83</v>
      </c>
      <c r="I85" s="7">
        <f t="shared" si="48"/>
        <v>102.5</v>
      </c>
      <c r="J85" s="7" t="str">
        <f t="shared" si="49"/>
        <v>+4.5</v>
      </c>
      <c r="K85" s="9">
        <f t="shared" si="50"/>
        <v>1.2432432432432432</v>
      </c>
      <c r="Q85" s="19">
        <v>-1</v>
      </c>
      <c r="R85" s="3" t="str">
        <f t="shared" si="55"/>
        <v/>
      </c>
      <c r="S85" s="7">
        <f>IFERROR(IF(FLOOR(Q85,1)=FLOOR(Q84,1),S84, MAX(S$5:S84)+1),1)</f>
        <v>7</v>
      </c>
      <c r="T85" s="7" t="str">
        <f>IFERROR(INDEX(actual!A:A,MATCH(A85,actual!B:B,FALSE)), "")</f>
        <v/>
      </c>
      <c r="U85" s="7" t="str">
        <f>IFERROR(INDEX(actual!C:C,MATCH(A85,actual!B:B,FALSE)), "")</f>
        <v/>
      </c>
      <c r="V85" s="4" t="str">
        <f t="shared" si="60"/>
        <v>https://www.basketball-reference.com/international/players/johnny-juzang-1.html</v>
      </c>
      <c r="W85" s="4" t="str">
        <f t="shared" si="42"/>
        <v>https://www.nbadraft.net/players/johnny-juzang</v>
      </c>
      <c r="X85" s="17" t="str">
        <f t="shared" si="59"/>
        <v>https://www.nba.com/draft/2022/prospects/johnny-juzang</v>
      </c>
      <c r="Z85" s="13">
        <f t="shared" si="51"/>
        <v>80</v>
      </c>
      <c r="AA85" s="13">
        <f t="shared" si="52"/>
        <v>85</v>
      </c>
      <c r="AB85" s="13">
        <f t="shared" si="53"/>
        <v>73</v>
      </c>
      <c r="AC85" s="12">
        <f t="shared" si="54"/>
        <v>1373</v>
      </c>
      <c r="AD85" s="20">
        <f t="shared" si="56"/>
        <v>783</v>
      </c>
      <c r="AE85" s="20">
        <f t="shared" si="56"/>
        <v>590</v>
      </c>
      <c r="AJ85" s="13">
        <v>69</v>
      </c>
      <c r="AK85" s="13">
        <v>83</v>
      </c>
      <c r="AS85" s="13">
        <v>84</v>
      </c>
      <c r="AT85" s="13">
        <v>7</v>
      </c>
      <c r="AU85" s="13">
        <v>71</v>
      </c>
      <c r="AW85" s="2" t="str">
        <f>IFERROR(INDEX(measureables!$A:$J,MATCH($A85,measureables!$A:$A,FALSE),7), "")</f>
        <v>6' 6.50''</v>
      </c>
      <c r="AX85" s="2">
        <f>IFERROR(INDEX(measureables!$A:$J,MATCH($A85,measureables!$A:$A,FALSE),9), "")</f>
        <v>208.6</v>
      </c>
      <c r="AY85" s="2" t="str">
        <f>IFERROR(INDEX(measureables!$A:$J,MATCH($A85,measureables!$A:$A,FALSE),10), "")</f>
        <v>6' 11.00''</v>
      </c>
      <c r="AZ85" s="2" t="str">
        <f>IFERROR(INDEX(measureables!$A:$J,MATCH($A85,measureables!$A:$A,FALSE),8), "")</f>
        <v>8' 6.50''</v>
      </c>
      <c r="BA85" t="str">
        <f t="shared" si="57"/>
        <v>Johnny Juzang</v>
      </c>
    </row>
    <row r="86" spans="1:53" ht="22" customHeight="1" x14ac:dyDescent="0.2">
      <c r="A86" t="s">
        <v>226</v>
      </c>
      <c r="B86" t="s">
        <v>15</v>
      </c>
      <c r="C86" s="3" t="s">
        <v>344</v>
      </c>
      <c r="D86" s="3" t="s">
        <v>72</v>
      </c>
      <c r="E86" s="9">
        <f t="shared" si="44"/>
        <v>22.55441478439425</v>
      </c>
      <c r="F86" s="7">
        <f t="shared" si="45"/>
        <v>75.25</v>
      </c>
      <c r="G86" s="7">
        <f t="shared" si="46"/>
        <v>183.2</v>
      </c>
      <c r="H86" s="7">
        <f t="shared" si="47"/>
        <v>80</v>
      </c>
      <c r="I86" s="7">
        <f t="shared" si="48"/>
        <v>101</v>
      </c>
      <c r="J86" s="7" t="str">
        <f t="shared" si="49"/>
        <v>+4.75</v>
      </c>
      <c r="K86" s="9">
        <f t="shared" si="50"/>
        <v>1.3114754098360655</v>
      </c>
      <c r="N86" s="3" t="s">
        <v>385</v>
      </c>
      <c r="Q86" s="19">
        <v>-1</v>
      </c>
      <c r="R86" s="3" t="str">
        <f t="shared" si="55"/>
        <v/>
      </c>
      <c r="S86" s="7">
        <f>IFERROR(IF(FLOOR(Q86,1)=FLOOR(Q85,1),S85, MAX(S$5:S85)+1),1)</f>
        <v>7</v>
      </c>
      <c r="T86" s="7" t="str">
        <f>IFERROR(INDEX(actual!A:A,MATCH(A86,actual!B:B,FALSE)), "")</f>
        <v/>
      </c>
      <c r="U86" s="7" t="str">
        <f>IFERROR(INDEX(actual!C:C,MATCH(A86,actual!B:B,FALSE)), "")</f>
        <v/>
      </c>
      <c r="V86" s="4" t="str">
        <f t="shared" si="60"/>
        <v>https://www.sports-reference.com/cbb/players/iverson-molinar-1.html</v>
      </c>
      <c r="W86" s="4" t="str">
        <f t="shared" si="42"/>
        <v>https://www.nbadraft.net/players/iverson-molinar</v>
      </c>
      <c r="X86" s="17" t="str">
        <f t="shared" si="59"/>
        <v>https://www.nba.com/draft/2022/prospects/iverson-molinar</v>
      </c>
      <c r="Y86" s="10">
        <v>36497</v>
      </c>
      <c r="Z86" s="13">
        <f t="shared" si="51"/>
        <v>81</v>
      </c>
      <c r="AA86" s="13">
        <f t="shared" si="52"/>
        <v>77</v>
      </c>
      <c r="AB86" s="13">
        <f t="shared" si="53"/>
        <v>78</v>
      </c>
      <c r="AC86" s="12">
        <f t="shared" si="54"/>
        <v>1376</v>
      </c>
      <c r="AD86" s="20">
        <f t="shared" si="56"/>
        <v>758</v>
      </c>
      <c r="AE86" s="20">
        <f t="shared" si="56"/>
        <v>618</v>
      </c>
      <c r="AF86" s="13">
        <v>61</v>
      </c>
      <c r="AG86" s="13">
        <v>13</v>
      </c>
      <c r="AJ86" s="13">
        <v>76</v>
      </c>
      <c r="AK86" s="13">
        <v>90</v>
      </c>
      <c r="AN86" s="13">
        <v>68</v>
      </c>
      <c r="AO86" s="13">
        <v>5</v>
      </c>
      <c r="AP86" s="13">
        <v>74</v>
      </c>
      <c r="AQ86" s="13">
        <v>6</v>
      </c>
      <c r="AS86" s="13">
        <v>78</v>
      </c>
      <c r="AT86" s="13">
        <v>6</v>
      </c>
      <c r="AU86" s="13">
        <v>84</v>
      </c>
      <c r="AW86" s="2" t="str">
        <f>IFERROR(INDEX(measureables!$A:$J,MATCH($A86,measureables!$A:$A,FALSE),7), "")</f>
        <v>6' 3.25''</v>
      </c>
      <c r="AX86" s="2">
        <f>IFERROR(INDEX(measureables!$A:$J,MATCH($A86,measureables!$A:$A,FALSE),9), "")</f>
        <v>183.2</v>
      </c>
      <c r="AY86" s="2" t="str">
        <f>IFERROR(INDEX(measureables!$A:$J,MATCH($A86,measureables!$A:$A,FALSE),10), "")</f>
        <v>6' 8.00''</v>
      </c>
      <c r="AZ86" s="2" t="str">
        <f>IFERROR(INDEX(measureables!$A:$J,MATCH($A86,measureables!$A:$A,FALSE),8), "")</f>
        <v>8' 5.00''</v>
      </c>
      <c r="BA86" t="str">
        <f t="shared" si="57"/>
        <v>Iverson Molinar</v>
      </c>
    </row>
    <row r="87" spans="1:53" ht="22" customHeight="1" x14ac:dyDescent="0.2">
      <c r="A87" t="s">
        <v>253</v>
      </c>
      <c r="B87" t="s">
        <v>254</v>
      </c>
      <c r="E87" s="9">
        <f t="shared" si="44"/>
        <v>122.47979966611018</v>
      </c>
      <c r="F87" s="7" t="str">
        <f t="shared" si="45"/>
        <v/>
      </c>
      <c r="G87" s="7" t="str">
        <f t="shared" si="46"/>
        <v>-</v>
      </c>
      <c r="H87" s="7" t="str">
        <f t="shared" si="47"/>
        <v/>
      </c>
      <c r="I87" s="7" t="str">
        <f t="shared" si="48"/>
        <v/>
      </c>
      <c r="J87" s="7" t="str">
        <f t="shared" si="49"/>
        <v/>
      </c>
      <c r="K87" s="9" t="str">
        <f t="shared" si="50"/>
        <v/>
      </c>
      <c r="Q87" s="19">
        <v>-1</v>
      </c>
      <c r="R87" s="3" t="str">
        <f t="shared" si="55"/>
        <v/>
      </c>
      <c r="S87" s="7">
        <f>IFERROR(IF(FLOOR(Q87,1)=FLOOR(Q86,1),S86, MAX(S$5:S86)+1),1)</f>
        <v>7</v>
      </c>
      <c r="T87" s="7" t="str">
        <f>IFERROR(INDEX(actual!A:A,MATCH(A87,actual!B:B,FALSE)), "")</f>
        <v/>
      </c>
      <c r="U87" s="7" t="str">
        <f>IFERROR(INDEX(actual!C:C,MATCH(A87,actual!B:B,FALSE)), "")</f>
        <v/>
      </c>
      <c r="V87" s="4" t="str">
        <f t="shared" si="60"/>
        <v>https://www.basketball-reference.com/international/players/fanbo-zeng-1.html</v>
      </c>
      <c r="W87" s="4" t="str">
        <f t="shared" si="42"/>
        <v>https://www.nbadraft.net/players/fanbo-zeng</v>
      </c>
      <c r="X87" s="17" t="str">
        <f t="shared" si="59"/>
        <v>https://www.nba.com/draft/2022/prospects/fanbo-zeng</v>
      </c>
      <c r="Z87" s="13">
        <f t="shared" si="51"/>
        <v>82</v>
      </c>
      <c r="AA87" s="13">
        <f t="shared" si="52"/>
        <v>92</v>
      </c>
      <c r="AB87" s="13">
        <f t="shared" si="53"/>
        <v>69</v>
      </c>
      <c r="AC87" s="12">
        <f t="shared" si="54"/>
        <v>1383</v>
      </c>
      <c r="AD87" s="20">
        <f t="shared" si="56"/>
        <v>812</v>
      </c>
      <c r="AE87" s="20">
        <f t="shared" si="56"/>
        <v>571</v>
      </c>
      <c r="AJ87" s="13">
        <v>57</v>
      </c>
      <c r="AU87" s="13">
        <v>85</v>
      </c>
      <c r="AW87" s="2">
        <f>IFERROR(INDEX(measureables!$A:$J,MATCH($A87,measureables!$A:$A,FALSE),7), "")</f>
        <v>0</v>
      </c>
      <c r="AX87" s="2" t="str">
        <f>IFERROR(INDEX(measureables!$A:$J,MATCH($A87,measureables!$A:$A,FALSE),9), "")</f>
        <v>-</v>
      </c>
      <c r="AY87" s="2">
        <f>IFERROR(INDEX(measureables!$A:$J,MATCH($A87,measureables!$A:$A,FALSE),10), "")</f>
        <v>0</v>
      </c>
      <c r="AZ87" s="2">
        <f>IFERROR(INDEX(measureables!$A:$J,MATCH($A87,measureables!$A:$A,FALSE),8), "")</f>
        <v>0</v>
      </c>
      <c r="BA87" t="str">
        <f t="shared" si="57"/>
        <v>Fanbo Zeng</v>
      </c>
    </row>
    <row r="88" spans="1:53" ht="22" customHeight="1" x14ac:dyDescent="0.2">
      <c r="A88" t="s">
        <v>264</v>
      </c>
      <c r="B88" t="s">
        <v>51</v>
      </c>
      <c r="C88" s="3" t="s">
        <v>68</v>
      </c>
      <c r="D88" s="3" t="s">
        <v>73</v>
      </c>
      <c r="E88" s="9">
        <f t="shared" si="44"/>
        <v>23.296372347707049</v>
      </c>
      <c r="F88" s="7">
        <f t="shared" si="45"/>
        <v>78</v>
      </c>
      <c r="G88" s="7">
        <f t="shared" si="46"/>
        <v>216</v>
      </c>
      <c r="H88" s="7">
        <f t="shared" si="47"/>
        <v>80</v>
      </c>
      <c r="I88" s="7" t="str">
        <f t="shared" si="48"/>
        <v/>
      </c>
      <c r="J88" s="7" t="str">
        <f t="shared" si="49"/>
        <v>+2</v>
      </c>
      <c r="K88" s="9">
        <f t="shared" si="50"/>
        <v>1.1111111111111112</v>
      </c>
      <c r="O88" s="3" t="s">
        <v>385</v>
      </c>
      <c r="Q88" s="19">
        <v>-1</v>
      </c>
      <c r="R88" s="3" t="str">
        <f t="shared" si="55"/>
        <v/>
      </c>
      <c r="S88" s="7">
        <f>IFERROR(IF(FLOOR(Q88,1)=FLOOR(Q87,1),S87, MAX(S$5:S87)+1),1)</f>
        <v>7</v>
      </c>
      <c r="T88" s="7">
        <f>IFERROR(INDEX(actual!A:A,MATCH(A88,actual!B:B,FALSE)), "")</f>
        <v>51</v>
      </c>
      <c r="U88" s="7" t="str">
        <f>IFERROR(INDEX(actual!C:C,MATCH(A88,actual!B:B,FALSE)), "")</f>
        <v>ATL</v>
      </c>
      <c r="V88" s="4" t="str">
        <f t="shared" si="60"/>
        <v>https://www.sports-reference.com/cbb/players/tyrese-martin-1.html</v>
      </c>
      <c r="W88" s="4" t="str">
        <f t="shared" si="42"/>
        <v>https://www.nbadraft.net/players/tyrese-martin</v>
      </c>
      <c r="X88" s="17" t="str">
        <f t="shared" si="59"/>
        <v>https://www.nba.com/draft/2022/prospects/tyrese-martin</v>
      </c>
      <c r="Y88" s="10">
        <v>36226</v>
      </c>
      <c r="Z88" s="13">
        <f t="shared" si="51"/>
        <v>83</v>
      </c>
      <c r="AA88" s="13">
        <f t="shared" si="52"/>
        <v>72</v>
      </c>
      <c r="AB88" s="13">
        <f t="shared" si="53"/>
        <v>87</v>
      </c>
      <c r="AC88" s="12">
        <f t="shared" si="54"/>
        <v>1389</v>
      </c>
      <c r="AD88" s="20">
        <f t="shared" si="56"/>
        <v>726</v>
      </c>
      <c r="AE88" s="20">
        <f t="shared" si="56"/>
        <v>663</v>
      </c>
      <c r="AF88" s="13">
        <v>60</v>
      </c>
      <c r="AG88" s="13">
        <v>13</v>
      </c>
      <c r="AJ88" s="13">
        <v>92</v>
      </c>
      <c r="AK88" s="13">
        <v>87</v>
      </c>
      <c r="AS88" s="13">
        <v>69</v>
      </c>
      <c r="AT88" s="13">
        <v>6</v>
      </c>
      <c r="AU88" s="13">
        <v>63</v>
      </c>
      <c r="AW88" s="2" t="str">
        <f>IFERROR(INDEX(measureables!$A:$J,MATCH($A88,measureables!$A:$A,FALSE),7), "")</f>
        <v>6' 6''</v>
      </c>
      <c r="AX88" s="2">
        <f>IFERROR(INDEX(measureables!$A:$J,MATCH($A88,measureables!$A:$A,FALSE),9), "")</f>
        <v>216</v>
      </c>
      <c r="AY88" s="2" t="str">
        <f>IFERROR(INDEX(measureables!$A:$J,MATCH($A88,measureables!$A:$A,FALSE),10), "")</f>
        <v>6' 8''</v>
      </c>
      <c r="AZ88" s="2">
        <f>IFERROR(INDEX(measureables!$A:$J,MATCH($A88,measureables!$A:$A,FALSE),8), "")</f>
        <v>0</v>
      </c>
      <c r="BA88" t="str">
        <f t="shared" si="57"/>
        <v>Tyrese Martin</v>
      </c>
    </row>
    <row r="89" spans="1:53" ht="22" customHeight="1" x14ac:dyDescent="0.2">
      <c r="A89" t="s">
        <v>376</v>
      </c>
      <c r="B89" t="s">
        <v>15</v>
      </c>
      <c r="E89" s="9">
        <f t="shared" si="44"/>
        <v>122.47979966611018</v>
      </c>
      <c r="F89" s="7" t="str">
        <f t="shared" si="45"/>
        <v/>
      </c>
      <c r="G89" s="7" t="str">
        <f t="shared" si="46"/>
        <v/>
      </c>
      <c r="H89" s="7" t="str">
        <f t="shared" si="47"/>
        <v/>
      </c>
      <c r="I89" s="7" t="str">
        <f t="shared" si="48"/>
        <v/>
      </c>
      <c r="J89" s="7" t="str">
        <f t="shared" si="49"/>
        <v/>
      </c>
      <c r="K89" s="9" t="str">
        <f t="shared" si="50"/>
        <v/>
      </c>
      <c r="Q89" s="19">
        <v>-1</v>
      </c>
      <c r="R89" s="3" t="str">
        <f t="shared" si="55"/>
        <v/>
      </c>
      <c r="S89" s="7">
        <f>IFERROR(IF(FLOOR(Q89,1)=FLOOR(Q88,1),S88, MAX(S$5:S88)+1),1)</f>
        <v>7</v>
      </c>
      <c r="T89" s="7" t="str">
        <f>IFERROR(INDEX(actual!A:A,MATCH(A89,actual!B:B,FALSE)), "")</f>
        <v/>
      </c>
      <c r="U89" s="7" t="str">
        <f>IFERROR(INDEX(actual!C:C,MATCH(A89,actual!B:B,FALSE)), "")</f>
        <v/>
      </c>
      <c r="V89" s="4" t="str">
        <f t="shared" si="60"/>
        <v>https://www.basketball-reference.com/international/players/james-akinjo-1.html</v>
      </c>
      <c r="W89" s="4" t="str">
        <f t="shared" si="42"/>
        <v>https://www.nbadraft.net/players/james-akinjo</v>
      </c>
      <c r="X89" s="17" t="str">
        <f t="shared" si="59"/>
        <v>https://www.nba.com/draft/2022/prospects/james-akinjo</v>
      </c>
      <c r="Z89" s="13">
        <f t="shared" si="51"/>
        <v>84</v>
      </c>
      <c r="AA89" s="13">
        <f t="shared" si="52"/>
        <v>86</v>
      </c>
      <c r="AB89" s="13">
        <f t="shared" si="53"/>
        <v>79</v>
      </c>
      <c r="AC89" s="12">
        <f t="shared" si="54"/>
        <v>1410</v>
      </c>
      <c r="AD89" s="20">
        <f t="shared" si="56"/>
        <v>791</v>
      </c>
      <c r="AE89" s="20">
        <f t="shared" si="56"/>
        <v>619</v>
      </c>
      <c r="AJ89" s="13">
        <v>80</v>
      </c>
      <c r="AK89" s="13">
        <v>79</v>
      </c>
      <c r="AS89" s="13">
        <v>80</v>
      </c>
      <c r="AT89" s="13">
        <v>7</v>
      </c>
      <c r="AU89" s="13">
        <v>83</v>
      </c>
      <c r="AW89" s="2" t="str">
        <f>IFERROR(INDEX(measureables!$A:$J,MATCH($A89,measureables!$A:$A,FALSE),7), "")</f>
        <v/>
      </c>
      <c r="AX89" s="2" t="str">
        <f>IFERROR(INDEX(measureables!$A:$J,MATCH($A89,measureables!$A:$A,FALSE),9), "")</f>
        <v/>
      </c>
      <c r="AY89" s="2" t="str">
        <f>IFERROR(INDEX(measureables!$A:$J,MATCH($A89,measureables!$A:$A,FALSE),10), "")</f>
        <v/>
      </c>
      <c r="AZ89" s="2" t="str">
        <f>IFERROR(INDEX(measureables!$A:$J,MATCH($A89,measureables!$A:$A,FALSE),8), "")</f>
        <v/>
      </c>
      <c r="BA89" t="str">
        <f t="shared" si="57"/>
        <v>James Akinjo</v>
      </c>
    </row>
    <row r="90" spans="1:53" ht="22" customHeight="1" x14ac:dyDescent="0.2">
      <c r="A90" t="s">
        <v>256</v>
      </c>
      <c r="B90" t="s">
        <v>254</v>
      </c>
      <c r="E90" s="9">
        <f t="shared" si="44"/>
        <v>122.47979966611018</v>
      </c>
      <c r="F90" s="7" t="str">
        <f t="shared" si="45"/>
        <v/>
      </c>
      <c r="G90" s="7" t="str">
        <f t="shared" si="46"/>
        <v>-</v>
      </c>
      <c r="H90" s="7" t="str">
        <f t="shared" si="47"/>
        <v/>
      </c>
      <c r="I90" s="7" t="str">
        <f t="shared" si="48"/>
        <v/>
      </c>
      <c r="J90" s="7" t="str">
        <f t="shared" si="49"/>
        <v/>
      </c>
      <c r="K90" s="9" t="str">
        <f t="shared" si="50"/>
        <v/>
      </c>
      <c r="Q90" s="19">
        <v>-1</v>
      </c>
      <c r="R90" s="3" t="str">
        <f t="shared" si="55"/>
        <v/>
      </c>
      <c r="S90" s="7">
        <f>IFERROR(IF(FLOOR(Q90,1)=FLOOR(Q89,1),S89, MAX(S$5:S89)+1),1)</f>
        <v>7</v>
      </c>
      <c r="T90" s="7" t="str">
        <f>IFERROR(INDEX(actual!A:A,MATCH(A90,actual!B:B,FALSE)), "")</f>
        <v/>
      </c>
      <c r="U90" s="7" t="str">
        <f>IFERROR(INDEX(actual!C:C,MATCH(A90,actual!B:B,FALSE)), "")</f>
        <v/>
      </c>
      <c r="V90" s="4" t="str">
        <f t="shared" si="60"/>
        <v>https://www.basketball-reference.com/international/players/jalen-wilson-1.html</v>
      </c>
      <c r="W90" s="4" t="str">
        <f t="shared" si="42"/>
        <v>https://www.nbadraft.net/players/jalen-wilson</v>
      </c>
      <c r="X90" s="17" t="str">
        <f t="shared" si="59"/>
        <v>https://www.nba.com/draft/2022/prospects/jalen-wilson</v>
      </c>
      <c r="Z90" s="13">
        <f t="shared" si="51"/>
        <v>85</v>
      </c>
      <c r="AA90" s="13">
        <f t="shared" si="52"/>
        <v>100</v>
      </c>
      <c r="AB90" s="13">
        <f t="shared" si="53"/>
        <v>74</v>
      </c>
      <c r="AC90" s="12">
        <f t="shared" si="54"/>
        <v>1422</v>
      </c>
      <c r="AD90" s="20">
        <f t="shared" si="56"/>
        <v>827</v>
      </c>
      <c r="AE90" s="20">
        <f t="shared" si="56"/>
        <v>595</v>
      </c>
      <c r="AJ90" s="13">
        <v>65</v>
      </c>
      <c r="AW90" s="2">
        <f>IFERROR(INDEX(measureables!$A:$J,MATCH($A90,measureables!$A:$A,FALSE),7), "")</f>
        <v>0</v>
      </c>
      <c r="AX90" s="2" t="str">
        <f>IFERROR(INDEX(measureables!$A:$J,MATCH($A90,measureables!$A:$A,FALSE),9), "")</f>
        <v>-</v>
      </c>
      <c r="AY90" s="2">
        <f>IFERROR(INDEX(measureables!$A:$J,MATCH($A90,measureables!$A:$A,FALSE),10), "")</f>
        <v>0</v>
      </c>
      <c r="AZ90" s="2">
        <f>IFERROR(INDEX(measureables!$A:$J,MATCH($A90,measureables!$A:$A,FALSE),8), "")</f>
        <v>0</v>
      </c>
      <c r="BA90" t="str">
        <f t="shared" si="57"/>
        <v>Jalen Wilson</v>
      </c>
    </row>
    <row r="91" spans="1:53" ht="22" customHeight="1" x14ac:dyDescent="0.2">
      <c r="A91" t="s">
        <v>242</v>
      </c>
      <c r="B91" t="s">
        <v>15</v>
      </c>
      <c r="E91" s="9">
        <f t="shared" si="44"/>
        <v>122.47979966611018</v>
      </c>
      <c r="F91" s="7">
        <f t="shared" si="45"/>
        <v>74.75</v>
      </c>
      <c r="G91" s="7">
        <f t="shared" si="46"/>
        <v>195.8</v>
      </c>
      <c r="H91" s="7">
        <f t="shared" si="47"/>
        <v>76</v>
      </c>
      <c r="I91" s="7">
        <f t="shared" si="48"/>
        <v>98</v>
      </c>
      <c r="J91" s="7" t="str">
        <f t="shared" si="49"/>
        <v>+1.25</v>
      </c>
      <c r="K91" s="9">
        <f t="shared" si="50"/>
        <v>1.0847457627118644</v>
      </c>
      <c r="Q91" s="19">
        <v>-1</v>
      </c>
      <c r="R91" s="3" t="str">
        <f t="shared" si="55"/>
        <v/>
      </c>
      <c r="S91" s="7">
        <f>IFERROR(IF(FLOOR(Q91,1)=FLOOR(Q90,1),S90, MAX(S$5:S90)+1),1)</f>
        <v>7</v>
      </c>
      <c r="T91" s="7" t="str">
        <f>IFERROR(INDEX(actual!A:A,MATCH(A91,actual!B:B,FALSE)), "")</f>
        <v/>
      </c>
      <c r="U91" s="7" t="str">
        <f>IFERROR(INDEX(actual!C:C,MATCH(A91,actual!B:B,FALSE)), "")</f>
        <v/>
      </c>
      <c r="V91" s="4" t="str">
        <f t="shared" si="60"/>
        <v>https://www.basketball-reference.com/international/players/collin-gillespie-1.html</v>
      </c>
      <c r="W91" s="4" t="str">
        <f t="shared" si="42"/>
        <v>https://www.nbadraft.net/players/collin-gillespie</v>
      </c>
      <c r="X91" s="17" t="str">
        <f t="shared" si="59"/>
        <v>https://www.nba.com/draft/2022/prospects/collin-gillespie</v>
      </c>
      <c r="Z91" s="13">
        <f t="shared" si="51"/>
        <v>86</v>
      </c>
      <c r="AA91" s="13">
        <f t="shared" si="52"/>
        <v>76</v>
      </c>
      <c r="AB91" s="13">
        <f t="shared" si="53"/>
        <v>92</v>
      </c>
      <c r="AC91" s="12">
        <f t="shared" si="54"/>
        <v>1424</v>
      </c>
      <c r="AD91" s="20">
        <f t="shared" si="56"/>
        <v>753</v>
      </c>
      <c r="AE91" s="20">
        <f t="shared" si="56"/>
        <v>671</v>
      </c>
      <c r="AK91" s="13">
        <v>68</v>
      </c>
      <c r="AP91" s="13">
        <v>73</v>
      </c>
      <c r="AQ91" s="13">
        <v>6</v>
      </c>
      <c r="AS91" s="13">
        <v>67</v>
      </c>
      <c r="AT91" s="13">
        <v>6</v>
      </c>
      <c r="AU91" s="13">
        <v>62</v>
      </c>
      <c r="AW91" s="2" t="str">
        <f>IFERROR(INDEX(measureables!$A:$J,MATCH($A91,measureables!$A:$A,FALSE),7), "")</f>
        <v>6' 2.75''</v>
      </c>
      <c r="AX91" s="2">
        <f>IFERROR(INDEX(measureables!$A:$J,MATCH($A91,measureables!$A:$A,FALSE),9), "")</f>
        <v>195.8</v>
      </c>
      <c r="AY91" s="2" t="str">
        <f>IFERROR(INDEX(measureables!$A:$J,MATCH($A91,measureables!$A:$A,FALSE),10), "")</f>
        <v>6' 4.00''</v>
      </c>
      <c r="AZ91" s="2" t="str">
        <f>IFERROR(INDEX(measureables!$A:$J,MATCH($A91,measureables!$A:$A,FALSE),8), "")</f>
        <v>8' 2.00''</v>
      </c>
      <c r="BA91" t="str">
        <f t="shared" si="57"/>
        <v>Collin Gillespie</v>
      </c>
    </row>
    <row r="92" spans="1:53" ht="22" customHeight="1" x14ac:dyDescent="0.2">
      <c r="A92" t="s">
        <v>374</v>
      </c>
      <c r="B92" t="s">
        <v>13</v>
      </c>
      <c r="E92" s="9">
        <f t="shared" si="44"/>
        <v>122.47979966611018</v>
      </c>
      <c r="F92" s="7" t="str">
        <f t="shared" si="45"/>
        <v/>
      </c>
      <c r="G92" s="7" t="str">
        <f t="shared" si="46"/>
        <v/>
      </c>
      <c r="H92" s="7" t="str">
        <f t="shared" si="47"/>
        <v/>
      </c>
      <c r="I92" s="7" t="str">
        <f t="shared" si="48"/>
        <v/>
      </c>
      <c r="J92" s="7" t="str">
        <f t="shared" si="49"/>
        <v/>
      </c>
      <c r="K92" s="9" t="str">
        <f t="shared" si="50"/>
        <v/>
      </c>
      <c r="Q92" s="19">
        <v>-1</v>
      </c>
      <c r="R92" s="3" t="str">
        <f t="shared" si="55"/>
        <v/>
      </c>
      <c r="S92" s="7">
        <f>IFERROR(IF(FLOOR(Q92,1)=FLOOR(Q91,1),S91, MAX(S$5:S91)+1),1)</f>
        <v>7</v>
      </c>
      <c r="T92" s="7" t="str">
        <f>IFERROR(INDEX(actual!A:A,MATCH(A92,actual!B:B,FALSE)), "")</f>
        <v/>
      </c>
      <c r="U92" s="7" t="str">
        <f>IFERROR(INDEX(actual!C:C,MATCH(A92,actual!B:B,FALSE)), "")</f>
        <v/>
      </c>
      <c r="V92" s="4" t="str">
        <f t="shared" si="60"/>
        <v>https://www.basketball-reference.com/international/players/brady-manek-1.html</v>
      </c>
      <c r="W92" s="4" t="str">
        <f t="shared" si="42"/>
        <v>https://www.nbadraft.net/players/brady-manek</v>
      </c>
      <c r="X92" s="17" t="str">
        <f t="shared" si="59"/>
        <v>https://www.nba.com/draft/2022/prospects/brady-manek</v>
      </c>
      <c r="Z92" s="13">
        <f t="shared" si="51"/>
        <v>87</v>
      </c>
      <c r="AA92" s="13">
        <f t="shared" si="52"/>
        <v>84</v>
      </c>
      <c r="AB92" s="13">
        <f t="shared" si="53"/>
        <v>83</v>
      </c>
      <c r="AC92" s="12">
        <f t="shared" si="54"/>
        <v>1429</v>
      </c>
      <c r="AD92" s="20">
        <f t="shared" si="56"/>
        <v>776</v>
      </c>
      <c r="AE92" s="20">
        <f t="shared" si="56"/>
        <v>653</v>
      </c>
      <c r="AJ92" s="13">
        <v>87</v>
      </c>
      <c r="AK92" s="13">
        <v>92</v>
      </c>
      <c r="AN92" s="13">
        <v>57</v>
      </c>
      <c r="AO92" s="13">
        <v>5</v>
      </c>
      <c r="AS92" s="13">
        <v>93</v>
      </c>
      <c r="AT92" s="13">
        <v>7</v>
      </c>
      <c r="AU92" s="13">
        <v>77</v>
      </c>
      <c r="AW92" s="2" t="str">
        <f>IFERROR(INDEX(measureables!$A:$J,MATCH($A92,measureables!$A:$A,FALSE),7), "")</f>
        <v/>
      </c>
      <c r="AX92" s="2" t="str">
        <f>IFERROR(INDEX(measureables!$A:$J,MATCH($A92,measureables!$A:$A,FALSE),9), "")</f>
        <v/>
      </c>
      <c r="AY92" s="2" t="str">
        <f>IFERROR(INDEX(measureables!$A:$J,MATCH($A92,measureables!$A:$A,FALSE),10), "")</f>
        <v/>
      </c>
      <c r="AZ92" s="2" t="str">
        <f>IFERROR(INDEX(measureables!$A:$J,MATCH($A92,measureables!$A:$A,FALSE),8), "")</f>
        <v/>
      </c>
      <c r="BA92" t="str">
        <f t="shared" si="57"/>
        <v>Brady Manek</v>
      </c>
    </row>
    <row r="93" spans="1:53" ht="22" customHeight="1" x14ac:dyDescent="0.2">
      <c r="A93" t="s">
        <v>262</v>
      </c>
      <c r="B93" t="s">
        <v>51</v>
      </c>
      <c r="E93" s="9">
        <f t="shared" si="44"/>
        <v>122.47979966611018</v>
      </c>
      <c r="F93" s="7">
        <f t="shared" si="45"/>
        <v>78</v>
      </c>
      <c r="G93" s="7">
        <f t="shared" si="46"/>
        <v>210</v>
      </c>
      <c r="H93" s="7">
        <f t="shared" si="47"/>
        <v>83</v>
      </c>
      <c r="I93" s="7" t="str">
        <f t="shared" si="48"/>
        <v/>
      </c>
      <c r="J93" s="7" t="str">
        <f t="shared" si="49"/>
        <v>+5</v>
      </c>
      <c r="K93" s="9">
        <f t="shared" si="50"/>
        <v>1.2777777777777777</v>
      </c>
      <c r="Q93" s="19">
        <v>-1</v>
      </c>
      <c r="R93" s="3" t="str">
        <f t="shared" si="55"/>
        <v/>
      </c>
      <c r="S93" s="7">
        <f>IFERROR(IF(FLOOR(Q93,1)=FLOOR(Q92,1),S92, MAX(S$5:S92)+1),1)</f>
        <v>7</v>
      </c>
      <c r="T93" s="7" t="str">
        <f>IFERROR(INDEX(actual!A:A,MATCH(A93,actual!B:B,FALSE)), "")</f>
        <v/>
      </c>
      <c r="U93" s="7" t="str">
        <f>IFERROR(INDEX(actual!C:C,MATCH(A93,actual!B:B,FALSE)), "")</f>
        <v/>
      </c>
      <c r="V93" s="4" t="str">
        <f t="shared" si="60"/>
        <v>https://www.basketball-reference.com/international/players/jared-rhoden-1.html</v>
      </c>
      <c r="W93" s="4" t="str">
        <f t="shared" si="42"/>
        <v>https://www.nbadraft.net/players/jared-rhoden</v>
      </c>
      <c r="X93" s="17" t="str">
        <f t="shared" si="59"/>
        <v>https://www.nba.com/draft/2022/prospects/jared-rhoden</v>
      </c>
      <c r="Z93" s="13">
        <f t="shared" si="51"/>
        <v>88</v>
      </c>
      <c r="AA93" s="13">
        <f t="shared" si="52"/>
        <v>80</v>
      </c>
      <c r="AB93" s="13">
        <f t="shared" si="53"/>
        <v>90</v>
      </c>
      <c r="AC93" s="12">
        <f t="shared" si="54"/>
        <v>1432</v>
      </c>
      <c r="AD93" s="20">
        <f t="shared" si="56"/>
        <v>763</v>
      </c>
      <c r="AE93" s="20">
        <f t="shared" si="56"/>
        <v>669</v>
      </c>
      <c r="AJ93" s="13">
        <v>95</v>
      </c>
      <c r="AK93" s="13">
        <v>84</v>
      </c>
      <c r="AS93" s="13">
        <v>55</v>
      </c>
      <c r="AT93" s="13">
        <v>6</v>
      </c>
      <c r="AU93" s="13">
        <v>82</v>
      </c>
      <c r="AW93" s="2" t="str">
        <f>IFERROR(INDEX(measureables!$A:$J,MATCH($A93,measureables!$A:$A,FALSE),7), "")</f>
        <v>6' 6''</v>
      </c>
      <c r="AX93" s="2">
        <f>IFERROR(INDEX(measureables!$A:$J,MATCH($A93,measureables!$A:$A,FALSE),9), "")</f>
        <v>210</v>
      </c>
      <c r="AY93" s="2" t="str">
        <f>IFERROR(INDEX(measureables!$A:$J,MATCH($A93,measureables!$A:$A,FALSE),10), "")</f>
        <v>6' 11''</v>
      </c>
      <c r="AZ93" s="2">
        <f>IFERROR(INDEX(measureables!$A:$J,MATCH($A93,measureables!$A:$A,FALSE),8), "")</f>
        <v>0</v>
      </c>
      <c r="BA93" t="str">
        <f t="shared" si="57"/>
        <v>Jared Rhoden</v>
      </c>
    </row>
    <row r="94" spans="1:53" ht="22" customHeight="1" x14ac:dyDescent="0.2">
      <c r="A94" t="s">
        <v>381</v>
      </c>
      <c r="B94" t="s">
        <v>13</v>
      </c>
      <c r="E94" s="9">
        <f t="shared" si="44"/>
        <v>122.47979966611018</v>
      </c>
      <c r="F94" s="7" t="str">
        <f t="shared" si="45"/>
        <v/>
      </c>
      <c r="G94" s="7" t="str">
        <f t="shared" si="46"/>
        <v/>
      </c>
      <c r="H94" s="7" t="str">
        <f t="shared" si="47"/>
        <v/>
      </c>
      <c r="I94" s="7" t="str">
        <f t="shared" si="48"/>
        <v/>
      </c>
      <c r="J94" s="7" t="str">
        <f t="shared" si="49"/>
        <v/>
      </c>
      <c r="K94" s="9" t="str">
        <f t="shared" si="50"/>
        <v/>
      </c>
      <c r="Q94" s="19">
        <v>-1</v>
      </c>
      <c r="R94" s="3" t="str">
        <f t="shared" si="55"/>
        <v/>
      </c>
      <c r="S94" s="7">
        <f>IFERROR(IF(FLOOR(Q94,1)=FLOOR(Q93,1),S93, MAX(S$5:S93)+1),1)</f>
        <v>7</v>
      </c>
      <c r="T94" s="7" t="str">
        <f>IFERROR(INDEX(actual!A:A,MATCH(A94,actual!B:B,FALSE)), "")</f>
        <v/>
      </c>
      <c r="U94" s="7" t="str">
        <f>IFERROR(INDEX(actual!C:C,MATCH(A94,actual!B:B,FALSE)), "")</f>
        <v/>
      </c>
      <c r="V94" s="4" t="str">
        <f t="shared" si="60"/>
        <v>https://www.basketball-reference.com/international/players/makur-maker-1.html</v>
      </c>
      <c r="W94" s="4" t="str">
        <f t="shared" si="42"/>
        <v>https://www.nbadraft.net/players/makur-maker</v>
      </c>
      <c r="X94" s="17" t="str">
        <f t="shared" si="59"/>
        <v>https://www.nba.com/draft/2022/prospects/makur-maker</v>
      </c>
      <c r="Z94" s="13">
        <f t="shared" si="51"/>
        <v>89</v>
      </c>
      <c r="AA94" s="13">
        <f t="shared" si="52"/>
        <v>98</v>
      </c>
      <c r="AB94" s="13">
        <f t="shared" si="53"/>
        <v>82</v>
      </c>
      <c r="AC94" s="12">
        <f t="shared" si="54"/>
        <v>1454</v>
      </c>
      <c r="AD94" s="20">
        <f t="shared" si="56"/>
        <v>822</v>
      </c>
      <c r="AE94" s="20">
        <f t="shared" si="56"/>
        <v>632</v>
      </c>
      <c r="AJ94" s="13">
        <v>88</v>
      </c>
      <c r="AK94" s="13">
        <v>85</v>
      </c>
      <c r="AL94" s="13">
        <v>23</v>
      </c>
      <c r="AU94" s="13">
        <v>95</v>
      </c>
      <c r="AW94" s="2" t="str">
        <f>IFERROR(INDEX(measureables!$A:$J,MATCH($A94,measureables!$A:$A,FALSE),7), "")</f>
        <v/>
      </c>
      <c r="AX94" s="2" t="str">
        <f>IFERROR(INDEX(measureables!$A:$J,MATCH($A94,measureables!$A:$A,FALSE),9), "")</f>
        <v/>
      </c>
      <c r="AY94" s="2" t="str">
        <f>IFERROR(INDEX(measureables!$A:$J,MATCH($A94,measureables!$A:$A,FALSE),10), "")</f>
        <v/>
      </c>
      <c r="AZ94" s="2" t="str">
        <f>IFERROR(INDEX(measureables!$A:$J,MATCH($A94,measureables!$A:$A,FALSE),8), "")</f>
        <v/>
      </c>
      <c r="BA94" t="str">
        <f t="shared" si="57"/>
        <v>Makur Maker</v>
      </c>
    </row>
    <row r="95" spans="1:53" ht="22" customHeight="1" x14ac:dyDescent="0.2">
      <c r="A95" t="s">
        <v>383</v>
      </c>
      <c r="B95" t="s">
        <v>15</v>
      </c>
      <c r="E95" s="9">
        <f t="shared" si="44"/>
        <v>122.47979966611018</v>
      </c>
      <c r="F95" s="7" t="str">
        <f t="shared" si="45"/>
        <v/>
      </c>
      <c r="G95" s="7" t="str">
        <f t="shared" si="46"/>
        <v/>
      </c>
      <c r="H95" s="7" t="str">
        <f t="shared" si="47"/>
        <v/>
      </c>
      <c r="I95" s="7" t="str">
        <f t="shared" si="48"/>
        <v/>
      </c>
      <c r="J95" s="7" t="str">
        <f t="shared" si="49"/>
        <v/>
      </c>
      <c r="K95" s="9" t="str">
        <f t="shared" si="50"/>
        <v/>
      </c>
      <c r="Q95" s="19">
        <v>-1</v>
      </c>
      <c r="R95" s="3" t="str">
        <f t="shared" si="55"/>
        <v/>
      </c>
      <c r="S95" s="7">
        <f>IFERROR(IF(FLOOR(Q95,1)=FLOOR(Q94,1),S94, MAX(S$5:S94)+1),1)</f>
        <v>7</v>
      </c>
      <c r="T95" s="7" t="str">
        <f>IFERROR(INDEX(actual!A:A,MATCH(A95,actual!B:B,FALSE)), "")</f>
        <v/>
      </c>
      <c r="U95" s="7" t="str">
        <f>IFERROR(INDEX(actual!C:C,MATCH(A95,actual!B:B,FALSE)), "")</f>
        <v/>
      </c>
      <c r="V95" s="4" t="str">
        <f t="shared" si="60"/>
        <v>https://www.basketball-reference.com/international/players/aj-green-1.html</v>
      </c>
      <c r="W95" s="4" t="str">
        <f t="shared" si="42"/>
        <v>https://www.nbadraft.net/players/aj-green</v>
      </c>
      <c r="X95" s="17" t="str">
        <f t="shared" si="59"/>
        <v>https://www.nba.com/draft/2022/prospects/aj-green</v>
      </c>
      <c r="Z95" s="13">
        <f t="shared" si="51"/>
        <v>90</v>
      </c>
      <c r="AA95" s="13">
        <f t="shared" si="52"/>
        <v>99</v>
      </c>
      <c r="AB95" s="13">
        <f t="shared" si="53"/>
        <v>81</v>
      </c>
      <c r="AC95" s="12">
        <f t="shared" si="54"/>
        <v>1456</v>
      </c>
      <c r="AD95" s="20">
        <f t="shared" si="56"/>
        <v>825</v>
      </c>
      <c r="AE95" s="20">
        <f t="shared" si="56"/>
        <v>631</v>
      </c>
      <c r="AJ95" s="13">
        <v>77</v>
      </c>
      <c r="AU95" s="13">
        <v>98</v>
      </c>
      <c r="AW95" s="2" t="str">
        <f>IFERROR(INDEX(measureables!$A:$J,MATCH($A95,measureables!$A:$A,FALSE),7), "")</f>
        <v/>
      </c>
      <c r="AX95" s="2" t="str">
        <f>IFERROR(INDEX(measureables!$A:$J,MATCH($A95,measureables!$A:$A,FALSE),9), "")</f>
        <v/>
      </c>
      <c r="AY95" s="2" t="str">
        <f>IFERROR(INDEX(measureables!$A:$J,MATCH($A95,measureables!$A:$A,FALSE),10), "")</f>
        <v/>
      </c>
      <c r="AZ95" s="2" t="str">
        <f>IFERROR(INDEX(measureables!$A:$J,MATCH($A95,measureables!$A:$A,FALSE),8), "")</f>
        <v/>
      </c>
      <c r="BA95" t="str">
        <f t="shared" si="57"/>
        <v>AJ Green</v>
      </c>
    </row>
    <row r="96" spans="1:53" ht="22" customHeight="1" x14ac:dyDescent="0.2">
      <c r="A96" t="s">
        <v>378</v>
      </c>
      <c r="B96" t="s">
        <v>14</v>
      </c>
      <c r="E96" s="9">
        <f t="shared" si="44"/>
        <v>122.47979966611018</v>
      </c>
      <c r="F96" s="7" t="str">
        <f t="shared" si="45"/>
        <v/>
      </c>
      <c r="G96" s="7" t="str">
        <f t="shared" si="46"/>
        <v/>
      </c>
      <c r="H96" s="7" t="str">
        <f t="shared" si="47"/>
        <v/>
      </c>
      <c r="I96" s="7" t="str">
        <f t="shared" si="48"/>
        <v/>
      </c>
      <c r="J96" s="7" t="str">
        <f t="shared" si="49"/>
        <v/>
      </c>
      <c r="K96" s="9" t="str">
        <f t="shared" si="50"/>
        <v/>
      </c>
      <c r="Q96" s="19">
        <v>-1</v>
      </c>
      <c r="R96" s="3" t="str">
        <f t="shared" si="55"/>
        <v/>
      </c>
      <c r="S96" s="7">
        <f>IFERROR(IF(FLOOR(Q96,1)=FLOOR(Q95,1),S95, MAX(S$5:S95)+1),1)</f>
        <v>7</v>
      </c>
      <c r="T96" s="7" t="str">
        <f>IFERROR(INDEX(actual!A:A,MATCH(A96,actual!B:B,FALSE)), "")</f>
        <v/>
      </c>
      <c r="U96" s="7" t="str">
        <f>IFERROR(INDEX(actual!C:C,MATCH(A96,actual!B:B,FALSE)), "")</f>
        <v/>
      </c>
      <c r="V96" s="4" t="str">
        <f t="shared" si="60"/>
        <v>https://www.basketball-reference.com/international/players/jules-bernard-1.html</v>
      </c>
      <c r="W96" s="4" t="str">
        <f t="shared" si="42"/>
        <v>https://www.nbadraft.net/players/jules-bernard</v>
      </c>
      <c r="X96" s="17" t="str">
        <f t="shared" si="59"/>
        <v>https://www.nba.com/draft/2022/prospects/jules-bernard</v>
      </c>
      <c r="Z96" s="13">
        <f t="shared" si="51"/>
        <v>91</v>
      </c>
      <c r="AA96" s="13">
        <f t="shared" si="52"/>
        <v>91</v>
      </c>
      <c r="AB96" s="13">
        <f t="shared" si="53"/>
        <v>83</v>
      </c>
      <c r="AC96" s="12">
        <f t="shared" si="54"/>
        <v>1461</v>
      </c>
      <c r="AD96" s="20">
        <f t="shared" si="56"/>
        <v>808</v>
      </c>
      <c r="AE96" s="20">
        <f t="shared" si="56"/>
        <v>653</v>
      </c>
      <c r="AJ96" s="13">
        <v>89</v>
      </c>
      <c r="AK96" s="13">
        <v>86</v>
      </c>
      <c r="AN96" s="13">
        <v>63</v>
      </c>
      <c r="AO96" s="13">
        <v>5</v>
      </c>
      <c r="AU96" s="13">
        <v>91</v>
      </c>
      <c r="AW96" s="2" t="str">
        <f>IFERROR(INDEX(measureables!$A:$J,MATCH($A96,measureables!$A:$A,FALSE),7), "")</f>
        <v/>
      </c>
      <c r="AX96" s="2" t="str">
        <f>IFERROR(INDEX(measureables!$A:$J,MATCH($A96,measureables!$A:$A,FALSE),9), "")</f>
        <v/>
      </c>
      <c r="AY96" s="2" t="str">
        <f>IFERROR(INDEX(measureables!$A:$J,MATCH($A96,measureables!$A:$A,FALSE),10), "")</f>
        <v/>
      </c>
      <c r="AZ96" s="2" t="str">
        <f>IFERROR(INDEX(measureables!$A:$J,MATCH($A96,measureables!$A:$A,FALSE),8), "")</f>
        <v/>
      </c>
      <c r="BA96" t="str">
        <f t="shared" si="57"/>
        <v>Jules Bernard</v>
      </c>
    </row>
    <row r="97" spans="1:53" ht="22" customHeight="1" x14ac:dyDescent="0.2">
      <c r="A97" t="s">
        <v>355</v>
      </c>
      <c r="B97" t="s">
        <v>15</v>
      </c>
      <c r="C97" s="3" t="s">
        <v>356</v>
      </c>
      <c r="D97" s="3" t="s">
        <v>73</v>
      </c>
      <c r="E97" s="9">
        <f t="shared" si="44"/>
        <v>23.381245722108144</v>
      </c>
      <c r="F97" s="7">
        <f t="shared" si="45"/>
        <v>75</v>
      </c>
      <c r="G97" s="7">
        <f t="shared" si="46"/>
        <v>190</v>
      </c>
      <c r="H97" s="7" t="str">
        <f t="shared" si="47"/>
        <v/>
      </c>
      <c r="I97" s="7" t="str">
        <f t="shared" si="48"/>
        <v/>
      </c>
      <c r="J97" s="7" t="str">
        <f t="shared" si="49"/>
        <v/>
      </c>
      <c r="K97" s="9" t="str">
        <f t="shared" si="50"/>
        <v/>
      </c>
      <c r="O97" s="3" t="s">
        <v>385</v>
      </c>
      <c r="Q97" s="19">
        <v>-1</v>
      </c>
      <c r="R97" s="3" t="str">
        <f t="shared" si="55"/>
        <v/>
      </c>
      <c r="S97" s="7">
        <f>IFERROR(IF(FLOOR(Q97,1)=FLOOR(Q96,1),S96, MAX(S$5:S96)+1),1)</f>
        <v>7</v>
      </c>
      <c r="T97" s="7" t="str">
        <f>IFERROR(INDEX(actual!A:A,MATCH(A97,actual!B:B,FALSE)), "")</f>
        <v/>
      </c>
      <c r="U97" s="7" t="str">
        <f>IFERROR(INDEX(actual!C:C,MATCH(A97,actual!B:B,FALSE)), "")</f>
        <v/>
      </c>
      <c r="V97" s="4" t="str">
        <f t="shared" si="60"/>
        <v>https://www.sports-reference.com/cbb/players/grayson-murphy-1.html</v>
      </c>
      <c r="W97" s="4" t="str">
        <f t="shared" si="42"/>
        <v>https://www.nbadraft.net/players/grayson-murphy</v>
      </c>
      <c r="X97" s="17" t="str">
        <f t="shared" si="59"/>
        <v>https://www.nba.com/draft/2022/prospects/grayson-murphy</v>
      </c>
      <c r="Y97" s="10">
        <v>36195</v>
      </c>
      <c r="Z97" s="13">
        <f t="shared" si="51"/>
        <v>92</v>
      </c>
      <c r="AA97" s="13">
        <f t="shared" si="52"/>
        <v>93</v>
      </c>
      <c r="AB97" s="13">
        <f t="shared" si="53"/>
        <v>85</v>
      </c>
      <c r="AC97" s="12">
        <f t="shared" si="54"/>
        <v>1472</v>
      </c>
      <c r="AD97" s="20">
        <f t="shared" si="56"/>
        <v>813</v>
      </c>
      <c r="AE97" s="20">
        <f t="shared" si="56"/>
        <v>659</v>
      </c>
      <c r="AF97" s="13">
        <v>69</v>
      </c>
      <c r="AG97" s="13">
        <v>13</v>
      </c>
      <c r="AK97" s="13">
        <v>56</v>
      </c>
      <c r="AW97" s="2" t="str">
        <f>IFERROR(INDEX(measureables!$A:$J,MATCH($A97,measureables!$A:$A,FALSE),7), "")</f>
        <v>6' 3''</v>
      </c>
      <c r="AX97" s="2">
        <f>IFERROR(INDEX(measureables!$A:$J,MATCH($A97,measureables!$A:$A,FALSE),9), "")</f>
        <v>190</v>
      </c>
      <c r="AY97" s="2">
        <f>IFERROR(INDEX(measureables!$A:$J,MATCH($A97,measureables!$A:$A,FALSE),10), "")</f>
        <v>0</v>
      </c>
      <c r="AZ97" s="2">
        <f>IFERROR(INDEX(measureables!$A:$J,MATCH($A97,measureables!$A:$A,FALSE),8), "")</f>
        <v>0</v>
      </c>
      <c r="BA97" t="str">
        <f t="shared" si="57"/>
        <v>Grayson Murphy</v>
      </c>
    </row>
    <row r="98" spans="1:53" ht="22" customHeight="1" x14ac:dyDescent="0.2">
      <c r="A98" t="s">
        <v>382</v>
      </c>
      <c r="B98" t="s">
        <v>16</v>
      </c>
      <c r="E98" s="9">
        <f t="shared" si="44"/>
        <v>122.47979966611018</v>
      </c>
      <c r="F98" s="7" t="str">
        <f t="shared" si="45"/>
        <v/>
      </c>
      <c r="G98" s="7" t="str">
        <f t="shared" si="46"/>
        <v/>
      </c>
      <c r="H98" s="7" t="str">
        <f t="shared" si="47"/>
        <v/>
      </c>
      <c r="I98" s="7" t="str">
        <f t="shared" si="48"/>
        <v/>
      </c>
      <c r="J98" s="7" t="str">
        <f t="shared" si="49"/>
        <v/>
      </c>
      <c r="K98" s="9" t="str">
        <f t="shared" si="50"/>
        <v/>
      </c>
      <c r="Q98" s="19">
        <v>-1</v>
      </c>
      <c r="R98" s="3" t="str">
        <f t="shared" si="55"/>
        <v/>
      </c>
      <c r="S98" s="7">
        <f>IFERROR(IF(FLOOR(Q98,1)=FLOOR(Q97,1),S97, MAX(S$5:S97)+1),1)</f>
        <v>7</v>
      </c>
      <c r="T98" s="7" t="str">
        <f>IFERROR(INDEX(actual!A:A,MATCH(A98,actual!B:B,FALSE)), "")</f>
        <v/>
      </c>
      <c r="U98" s="7" t="str">
        <f>IFERROR(INDEX(actual!C:C,MATCH(A98,actual!B:B,FALSE)), "")</f>
        <v/>
      </c>
      <c r="V98" s="4" t="str">
        <f t="shared" si="60"/>
        <v>https://www.basketball-reference.com/international/players/buddy-boeheim-1.html</v>
      </c>
      <c r="W98" s="4" t="str">
        <f t="shared" si="42"/>
        <v>https://www.nbadraft.net/players/buddy-boeheim</v>
      </c>
      <c r="X98" s="17" t="str">
        <f t="shared" si="59"/>
        <v>https://www.nba.com/draft/2022/prospects/buddy-boeheim</v>
      </c>
      <c r="Z98" s="13">
        <f t="shared" si="51"/>
        <v>93</v>
      </c>
      <c r="AA98" s="13">
        <f t="shared" si="52"/>
        <v>95</v>
      </c>
      <c r="AB98" s="13">
        <f t="shared" si="53"/>
        <v>89</v>
      </c>
      <c r="AC98" s="12">
        <f t="shared" si="54"/>
        <v>1480</v>
      </c>
      <c r="AD98" s="20">
        <f t="shared" si="56"/>
        <v>816</v>
      </c>
      <c r="AE98" s="20">
        <f t="shared" si="56"/>
        <v>664</v>
      </c>
      <c r="AJ98" s="13">
        <v>91</v>
      </c>
      <c r="AK98" s="13">
        <v>91</v>
      </c>
      <c r="AS98" s="13">
        <v>92</v>
      </c>
      <c r="AT98" s="13">
        <v>7</v>
      </c>
      <c r="AU98" s="13">
        <v>96</v>
      </c>
      <c r="AW98" s="2" t="str">
        <f>IFERROR(INDEX(measureables!$A:$J,MATCH($A98,measureables!$A:$A,FALSE),7), "")</f>
        <v/>
      </c>
      <c r="AX98" s="2" t="str">
        <f>IFERROR(INDEX(measureables!$A:$J,MATCH($A98,measureables!$A:$A,FALSE),9), "")</f>
        <v/>
      </c>
      <c r="AY98" s="2" t="str">
        <f>IFERROR(INDEX(measureables!$A:$J,MATCH($A98,measureables!$A:$A,FALSE),10), "")</f>
        <v/>
      </c>
      <c r="AZ98" s="2" t="str">
        <f>IFERROR(INDEX(measureables!$A:$J,MATCH($A98,measureables!$A:$A,FALSE),8), "")</f>
        <v/>
      </c>
      <c r="BA98" t="str">
        <f t="shared" si="57"/>
        <v>Buddy Boeheim</v>
      </c>
    </row>
    <row r="99" spans="1:53" ht="22" customHeight="1" x14ac:dyDescent="0.2">
      <c r="A99" t="s">
        <v>375</v>
      </c>
      <c r="B99" t="s">
        <v>14</v>
      </c>
      <c r="E99" s="9">
        <f t="shared" si="44"/>
        <v>122.47979966611018</v>
      </c>
      <c r="F99" s="7" t="str">
        <f t="shared" si="45"/>
        <v/>
      </c>
      <c r="G99" s="7" t="str">
        <f t="shared" si="46"/>
        <v/>
      </c>
      <c r="H99" s="7" t="str">
        <f t="shared" si="47"/>
        <v/>
      </c>
      <c r="I99" s="7" t="str">
        <f t="shared" si="48"/>
        <v/>
      </c>
      <c r="J99" s="7" t="str">
        <f t="shared" si="49"/>
        <v/>
      </c>
      <c r="K99" s="9" t="str">
        <f t="shared" si="50"/>
        <v/>
      </c>
      <c r="Q99" s="19">
        <v>-1</v>
      </c>
      <c r="R99" s="3" t="str">
        <f t="shared" si="55"/>
        <v/>
      </c>
      <c r="S99" s="7">
        <f>IFERROR(IF(FLOOR(Q99,1)=FLOOR(Q98,1),S98, MAX(S$5:S98)+1),1)</f>
        <v>7</v>
      </c>
      <c r="T99" s="7" t="str">
        <f>IFERROR(INDEX(actual!A:A,MATCH(A99,actual!B:B,FALSE)), "")</f>
        <v/>
      </c>
      <c r="U99" s="7" t="str">
        <f>IFERROR(INDEX(actual!C:C,MATCH(A99,actual!B:B,FALSE)), "")</f>
        <v/>
      </c>
      <c r="V99" s="4" t="str">
        <f t="shared" si="60"/>
        <v>https://www.basketball-reference.com/international/players/gabe-brown-1.html</v>
      </c>
      <c r="W99" s="4" t="str">
        <f t="shared" si="42"/>
        <v>https://www.nbadraft.net/players/gabe-brown</v>
      </c>
      <c r="X99" s="17" t="str">
        <f t="shared" si="59"/>
        <v>https://www.nba.com/draft/2022/prospects/gabe-brown</v>
      </c>
      <c r="Z99" s="13">
        <f t="shared" si="51"/>
        <v>94</v>
      </c>
      <c r="AA99" s="13">
        <f t="shared" si="52"/>
        <v>87</v>
      </c>
      <c r="AB99" s="13">
        <f t="shared" si="53"/>
        <v>96</v>
      </c>
      <c r="AC99" s="12">
        <f t="shared" si="54"/>
        <v>1486</v>
      </c>
      <c r="AD99" s="20">
        <f t="shared" si="56"/>
        <v>796</v>
      </c>
      <c r="AE99" s="20">
        <f t="shared" si="56"/>
        <v>690</v>
      </c>
      <c r="AJ99" s="13">
        <v>98</v>
      </c>
      <c r="AK99" s="13">
        <v>96</v>
      </c>
      <c r="AS99" s="13">
        <v>90</v>
      </c>
      <c r="AT99" s="13">
        <v>7</v>
      </c>
      <c r="AU99" s="13">
        <v>78</v>
      </c>
      <c r="AW99" s="2" t="str">
        <f>IFERROR(INDEX(measureables!$A:$J,MATCH($A99,measureables!$A:$A,FALSE),7), "")</f>
        <v/>
      </c>
      <c r="AX99" s="2" t="str">
        <f>IFERROR(INDEX(measureables!$A:$J,MATCH($A99,measureables!$A:$A,FALSE),9), "")</f>
        <v/>
      </c>
      <c r="AY99" s="2" t="str">
        <f>IFERROR(INDEX(measureables!$A:$J,MATCH($A99,measureables!$A:$A,FALSE),10), "")</f>
        <v/>
      </c>
      <c r="AZ99" s="2" t="str">
        <f>IFERROR(INDEX(measureables!$A:$J,MATCH($A99,measureables!$A:$A,FALSE),8), "")</f>
        <v/>
      </c>
      <c r="BA99" t="str">
        <f t="shared" si="57"/>
        <v>Gabe Brown</v>
      </c>
    </row>
    <row r="100" spans="1:53" ht="22" customHeight="1" x14ac:dyDescent="0.2">
      <c r="A100" t="s">
        <v>257</v>
      </c>
      <c r="B100" t="s">
        <v>258</v>
      </c>
      <c r="C100" s="3" t="s">
        <v>367</v>
      </c>
      <c r="D100" s="3" t="s">
        <v>73</v>
      </c>
      <c r="E100" s="9">
        <f t="shared" si="44"/>
        <v>24.614574557708508</v>
      </c>
      <c r="F100" s="7">
        <f t="shared" si="45"/>
        <v>80</v>
      </c>
      <c r="G100" s="7">
        <f t="shared" si="46"/>
        <v>237</v>
      </c>
      <c r="H100" s="7" t="str">
        <f t="shared" si="47"/>
        <v/>
      </c>
      <c r="I100" s="7" t="str">
        <f t="shared" si="48"/>
        <v/>
      </c>
      <c r="J100" s="7" t="str">
        <f t="shared" si="49"/>
        <v/>
      </c>
      <c r="K100" s="9" t="str">
        <f t="shared" si="50"/>
        <v/>
      </c>
      <c r="O100" s="3" t="s">
        <v>385</v>
      </c>
      <c r="Q100" s="19">
        <v>-1</v>
      </c>
      <c r="R100" s="3" t="str">
        <f t="shared" si="55"/>
        <v/>
      </c>
      <c r="S100" s="7">
        <f>IFERROR(IF(FLOOR(Q100,1)=FLOOR(Q99,1),S99, MAX(S$5:S99)+1),1)</f>
        <v>7</v>
      </c>
      <c r="T100" s="7" t="str">
        <f>IFERROR(INDEX(actual!A:A,MATCH(A100,actual!B:B,FALSE)), "")</f>
        <v/>
      </c>
      <c r="U100" s="7" t="str">
        <f>IFERROR(INDEX(actual!C:C,MATCH(A100,actual!B:B,FALSE)), "")</f>
        <v/>
      </c>
      <c r="V100" s="4" t="str">
        <f t="shared" si="60"/>
        <v>https://www.sports-reference.com/cbb/players/bryson-williams-1.html</v>
      </c>
      <c r="W100" s="4" t="str">
        <f t="shared" si="42"/>
        <v>https://www.nbadraft.net/players/bryson-williams</v>
      </c>
      <c r="X100" s="17" t="str">
        <f t="shared" si="59"/>
        <v>https://www.nba.com/draft/2022/prospects/bryson-williams</v>
      </c>
      <c r="Y100" s="10">
        <v>35745</v>
      </c>
      <c r="Z100" s="13">
        <f t="shared" si="51"/>
        <v>94</v>
      </c>
      <c r="AA100" s="13">
        <f t="shared" si="52"/>
        <v>88</v>
      </c>
      <c r="AB100" s="13">
        <f t="shared" si="53"/>
        <v>95</v>
      </c>
      <c r="AC100" s="12">
        <f t="shared" si="54"/>
        <v>1486</v>
      </c>
      <c r="AD100" s="20">
        <f t="shared" si="56"/>
        <v>798</v>
      </c>
      <c r="AE100" s="20">
        <f t="shared" si="56"/>
        <v>688</v>
      </c>
      <c r="AF100" s="13">
        <v>76</v>
      </c>
      <c r="AG100" s="13">
        <v>13</v>
      </c>
      <c r="AJ100" s="13">
        <v>97</v>
      </c>
      <c r="AK100" s="13">
        <v>97</v>
      </c>
      <c r="AS100" s="13">
        <v>89</v>
      </c>
      <c r="AT100" s="13">
        <v>7</v>
      </c>
      <c r="AU100" s="13">
        <v>81</v>
      </c>
      <c r="AW100" s="2" t="str">
        <f>IFERROR(INDEX(measureables!$A:$J,MATCH($A100,measureables!$A:$A,FALSE),7), "")</f>
        <v>6' 8''</v>
      </c>
      <c r="AX100" s="2">
        <f>IFERROR(INDEX(measureables!$A:$J,MATCH($A100,measureables!$A:$A,FALSE),9), "")</f>
        <v>237</v>
      </c>
      <c r="AY100" s="2">
        <f>IFERROR(INDEX(measureables!$A:$J,MATCH($A100,measureables!$A:$A,FALSE),10), "")</f>
        <v>0</v>
      </c>
      <c r="AZ100" s="2">
        <f>IFERROR(INDEX(measureables!$A:$J,MATCH($A100,measureables!$A:$A,FALSE),8), "")</f>
        <v>0</v>
      </c>
      <c r="BA100" t="str">
        <f t="shared" si="57"/>
        <v>Bryson Williams</v>
      </c>
    </row>
    <row r="101" spans="1:53" ht="22" customHeight="1" x14ac:dyDescent="0.2">
      <c r="A101" t="s">
        <v>377</v>
      </c>
      <c r="B101" t="s">
        <v>15</v>
      </c>
      <c r="E101" s="9">
        <f t="shared" si="44"/>
        <v>122.47979966611018</v>
      </c>
      <c r="F101" s="7" t="str">
        <f t="shared" si="45"/>
        <v/>
      </c>
      <c r="G101" s="7" t="str">
        <f t="shared" si="46"/>
        <v/>
      </c>
      <c r="H101" s="7" t="str">
        <f t="shared" si="47"/>
        <v/>
      </c>
      <c r="I101" s="7" t="str">
        <f t="shared" si="48"/>
        <v/>
      </c>
      <c r="J101" s="7" t="str">
        <f t="shared" si="49"/>
        <v/>
      </c>
      <c r="K101" s="9" t="str">
        <f t="shared" si="50"/>
        <v/>
      </c>
      <c r="Q101" s="19">
        <v>-1</v>
      </c>
      <c r="R101" s="3" t="str">
        <f t="shared" si="55"/>
        <v/>
      </c>
      <c r="S101" s="7">
        <f>IFERROR(IF(FLOOR(Q101,1)=FLOOR(Q100,1),S100, MAX(S$5:S100)+1),1)</f>
        <v>7</v>
      </c>
      <c r="T101" s="7" t="str">
        <f>IFERROR(INDEX(actual!A:A,MATCH(A101,actual!B:B,FALSE)), "")</f>
        <v/>
      </c>
      <c r="U101" s="7" t="str">
        <f>IFERROR(INDEX(actual!C:C,MATCH(A101,actual!B:B,FALSE)), "")</f>
        <v/>
      </c>
      <c r="V101" s="4" t="str">
        <f t="shared" si="60"/>
        <v>https://www.basketball-reference.com/international/players/quenton-jackson-1.html</v>
      </c>
      <c r="W101" s="4" t="str">
        <f t="shared" si="42"/>
        <v>https://www.nbadraft.net/players/quenton-jackson</v>
      </c>
      <c r="X101" s="17" t="str">
        <f t="shared" si="59"/>
        <v>https://www.nba.com/draft/2022/prospects/quenton-jackson</v>
      </c>
      <c r="Z101" s="13">
        <f t="shared" si="51"/>
        <v>96</v>
      </c>
      <c r="AA101" s="13">
        <f t="shared" si="52"/>
        <v>93</v>
      </c>
      <c r="AB101" s="13">
        <f t="shared" si="53"/>
        <v>94</v>
      </c>
      <c r="AC101" s="12">
        <f t="shared" si="54"/>
        <v>1491</v>
      </c>
      <c r="AD101" s="20">
        <f t="shared" si="56"/>
        <v>813</v>
      </c>
      <c r="AE101" s="20">
        <f t="shared" si="56"/>
        <v>678</v>
      </c>
      <c r="AJ101" s="13">
        <v>99</v>
      </c>
      <c r="AK101" s="13">
        <v>81</v>
      </c>
      <c r="AU101" s="13">
        <v>86</v>
      </c>
      <c r="AW101" s="2" t="str">
        <f>IFERROR(INDEX(measureables!$A:$J,MATCH($A101,measureables!$A:$A,FALSE),7), "")</f>
        <v/>
      </c>
      <c r="AX101" s="2" t="str">
        <f>IFERROR(INDEX(measureables!$A:$J,MATCH($A101,measureables!$A:$A,FALSE),9), "")</f>
        <v/>
      </c>
      <c r="AY101" s="2" t="str">
        <f>IFERROR(INDEX(measureables!$A:$J,MATCH($A101,measureables!$A:$A,FALSE),10), "")</f>
        <v/>
      </c>
      <c r="AZ101" s="2" t="str">
        <f>IFERROR(INDEX(measureables!$A:$J,MATCH($A101,measureables!$A:$A,FALSE),8), "")</f>
        <v/>
      </c>
      <c r="BA101" t="str">
        <f t="shared" si="57"/>
        <v>Quenton Jackson</v>
      </c>
    </row>
    <row r="102" spans="1:53" ht="22" customHeight="1" x14ac:dyDescent="0.2">
      <c r="A102" t="s">
        <v>379</v>
      </c>
      <c r="B102" t="s">
        <v>16</v>
      </c>
      <c r="E102" s="9">
        <f t="shared" si="44"/>
        <v>122.47979966611018</v>
      </c>
      <c r="F102" s="7" t="str">
        <f t="shared" si="45"/>
        <v/>
      </c>
      <c r="G102" s="7" t="str">
        <f t="shared" si="46"/>
        <v/>
      </c>
      <c r="H102" s="7" t="str">
        <f t="shared" si="47"/>
        <v/>
      </c>
      <c r="I102" s="7" t="str">
        <f t="shared" si="48"/>
        <v/>
      </c>
      <c r="J102" s="7" t="str">
        <f t="shared" si="49"/>
        <v/>
      </c>
      <c r="K102" s="9" t="str">
        <f t="shared" si="50"/>
        <v/>
      </c>
      <c r="Q102" s="19">
        <v>-1</v>
      </c>
      <c r="R102" s="3" t="str">
        <f t="shared" si="55"/>
        <v/>
      </c>
      <c r="S102" s="7">
        <f>IFERROR(IF(FLOOR(Q102,1)=FLOOR(Q101,1),S101, MAX(S$5:S101)+1),1)</f>
        <v>7</v>
      </c>
      <c r="T102" s="7" t="str">
        <f>IFERROR(INDEX(actual!A:A,MATCH(A102,actual!B:B,FALSE)), "")</f>
        <v/>
      </c>
      <c r="U102" s="7" t="str">
        <f>IFERROR(INDEX(actual!C:C,MATCH(A102,actual!B:B,FALSE)), "")</f>
        <v/>
      </c>
      <c r="V102" s="4" t="str">
        <f t="shared" si="60"/>
        <v>https://www.basketball-reference.com/international/players/izaiah-brockington-1.html</v>
      </c>
      <c r="W102" s="4" t="str">
        <f t="shared" si="42"/>
        <v>https://www.nbadraft.net/players/izaiah-brockington</v>
      </c>
      <c r="X102" s="17" t="str">
        <f t="shared" si="59"/>
        <v>https://www.nba.com/draft/2022/prospects/izaiah-brockington</v>
      </c>
      <c r="Z102" s="13">
        <f t="shared" si="51"/>
        <v>97</v>
      </c>
      <c r="AA102" s="13">
        <f t="shared" si="52"/>
        <v>96</v>
      </c>
      <c r="AB102" s="13">
        <f t="shared" si="53"/>
        <v>93</v>
      </c>
      <c r="AC102" s="12">
        <f t="shared" ref="AC102:AC105" si="61">AD102+AE102</f>
        <v>1496</v>
      </c>
      <c r="AD102" s="20">
        <f t="shared" si="56"/>
        <v>819</v>
      </c>
      <c r="AE102" s="20">
        <f t="shared" si="56"/>
        <v>677</v>
      </c>
      <c r="AJ102" s="13">
        <v>96</v>
      </c>
      <c r="AK102" s="13">
        <v>89</v>
      </c>
      <c r="AU102" s="13">
        <v>92</v>
      </c>
      <c r="AW102" s="2" t="str">
        <f>IFERROR(INDEX(measureables!$A:$J,MATCH($A102,measureables!$A:$A,FALSE),7), "")</f>
        <v/>
      </c>
      <c r="AX102" s="2" t="str">
        <f>IFERROR(INDEX(measureables!$A:$J,MATCH($A102,measureables!$A:$A,FALSE),9), "")</f>
        <v/>
      </c>
      <c r="AY102" s="2" t="str">
        <f>IFERROR(INDEX(measureables!$A:$J,MATCH($A102,measureables!$A:$A,FALSE),10), "")</f>
        <v/>
      </c>
      <c r="AZ102" s="2" t="str">
        <f>IFERROR(INDEX(measureables!$A:$J,MATCH($A102,measureables!$A:$A,FALSE),8), "")</f>
        <v/>
      </c>
      <c r="BA102" t="str">
        <f t="shared" si="57"/>
        <v>Izaiah Brockington</v>
      </c>
    </row>
    <row r="103" spans="1:53" ht="22" customHeight="1" x14ac:dyDescent="0.2">
      <c r="A103" t="s">
        <v>369</v>
      </c>
      <c r="B103" t="s">
        <v>16</v>
      </c>
      <c r="C103" s="3" t="s">
        <v>368</v>
      </c>
      <c r="D103" s="3" t="s">
        <v>73</v>
      </c>
      <c r="E103" s="9">
        <f t="shared" si="44"/>
        <v>24.787068239258634</v>
      </c>
      <c r="F103" s="7">
        <f t="shared" si="45"/>
        <v>77</v>
      </c>
      <c r="G103" s="7">
        <f t="shared" si="46"/>
        <v>190</v>
      </c>
      <c r="H103" s="7" t="str">
        <f t="shared" si="47"/>
        <v/>
      </c>
      <c r="I103" s="7" t="str">
        <f t="shared" si="48"/>
        <v/>
      </c>
      <c r="J103" s="7" t="str">
        <f t="shared" si="49"/>
        <v/>
      </c>
      <c r="K103" s="9" t="str">
        <f t="shared" si="50"/>
        <v/>
      </c>
      <c r="O103" s="3" t="s">
        <v>385</v>
      </c>
      <c r="Q103" s="19">
        <v>-1</v>
      </c>
      <c r="R103" s="3" t="str">
        <f t="shared" si="55"/>
        <v/>
      </c>
      <c r="S103" s="7">
        <f>IFERROR(IF(FLOOR(Q103,1)=FLOOR(Q102,1),S102, MAX(S$5:S102)+1),1)</f>
        <v>7</v>
      </c>
      <c r="T103" s="7" t="str">
        <f>IFERROR(INDEX(actual!A:A,MATCH(A103,actual!B:B,FALSE)), "")</f>
        <v/>
      </c>
      <c r="U103" s="7" t="str">
        <f>IFERROR(INDEX(actual!C:C,MATCH(A103,actual!B:B,FALSE)), "")</f>
        <v/>
      </c>
      <c r="V103" s="4" t="str">
        <f t="shared" si="60"/>
        <v>https://www.sports-reference.com/cbb/players/kameron-mcgusty-1.html</v>
      </c>
      <c r="W103" s="4" t="str">
        <f t="shared" si="42"/>
        <v>https://www.nbadraft.net/players/kameron-mcgusty</v>
      </c>
      <c r="X103" s="17" t="str">
        <f t="shared" si="59"/>
        <v>https://www.nba.com/draft/2022/prospects/kameron-mcgusty</v>
      </c>
      <c r="Y103" s="10">
        <v>35682</v>
      </c>
      <c r="Z103" s="13">
        <f t="shared" si="51"/>
        <v>98</v>
      </c>
      <c r="AA103" s="13">
        <f t="shared" si="52"/>
        <v>89</v>
      </c>
      <c r="AB103" s="13">
        <f t="shared" si="53"/>
        <v>98</v>
      </c>
      <c r="AC103" s="12">
        <f t="shared" si="61"/>
        <v>1505</v>
      </c>
      <c r="AD103" s="20">
        <f t="shared" si="56"/>
        <v>802</v>
      </c>
      <c r="AE103" s="20">
        <f t="shared" si="56"/>
        <v>703</v>
      </c>
      <c r="AF103" s="13">
        <v>75</v>
      </c>
      <c r="AG103" s="13">
        <v>13</v>
      </c>
      <c r="AJ103" s="13">
        <v>101</v>
      </c>
      <c r="AK103" s="13">
        <v>100</v>
      </c>
      <c r="AS103" s="13">
        <v>79</v>
      </c>
      <c r="AT103" s="13">
        <v>7</v>
      </c>
      <c r="AU103" s="13">
        <v>97</v>
      </c>
      <c r="AV103" s="13">
        <v>38</v>
      </c>
      <c r="AW103" s="2" t="str">
        <f>IFERROR(INDEX(measureables!$A:$J,MATCH($A103,measureables!$A:$A,FALSE),7), "")</f>
        <v>6' 5''</v>
      </c>
      <c r="AX103" s="2">
        <f>IFERROR(INDEX(measureables!$A:$J,MATCH($A103,measureables!$A:$A,FALSE),9), "")</f>
        <v>190</v>
      </c>
      <c r="AY103" s="2">
        <f>IFERROR(INDEX(measureables!$A:$J,MATCH($A103,measureables!$A:$A,FALSE),10), "")</f>
        <v>0</v>
      </c>
      <c r="AZ103" s="2">
        <f>IFERROR(INDEX(measureables!$A:$J,MATCH($A103,measureables!$A:$A,FALSE),8), "")</f>
        <v>0</v>
      </c>
      <c r="BA103" t="str">
        <f t="shared" si="57"/>
        <v>Kameron McGusty</v>
      </c>
    </row>
    <row r="104" spans="1:53" ht="22" customHeight="1" x14ac:dyDescent="0.2">
      <c r="A104" t="s">
        <v>380</v>
      </c>
      <c r="B104" t="s">
        <v>16</v>
      </c>
      <c r="E104" s="9">
        <f t="shared" si="44"/>
        <v>122.47979966611018</v>
      </c>
      <c r="F104" s="7" t="str">
        <f t="shared" si="45"/>
        <v/>
      </c>
      <c r="G104" s="7" t="str">
        <f t="shared" si="46"/>
        <v/>
      </c>
      <c r="H104" s="7" t="str">
        <f t="shared" si="47"/>
        <v/>
      </c>
      <c r="I104" s="7" t="str">
        <f t="shared" si="48"/>
        <v/>
      </c>
      <c r="J104" s="7" t="str">
        <f t="shared" si="49"/>
        <v/>
      </c>
      <c r="K104" s="9" t="str">
        <f t="shared" si="50"/>
        <v/>
      </c>
      <c r="Q104" s="19">
        <v>-1</v>
      </c>
      <c r="R104" s="3" t="str">
        <f t="shared" si="55"/>
        <v/>
      </c>
      <c r="S104" s="7">
        <f>IFERROR(IF(FLOOR(Q104,1)=FLOOR(Q103,1),S103, MAX(S$5:S103)+1),1)</f>
        <v>7</v>
      </c>
      <c r="T104" s="7" t="str">
        <f>IFERROR(INDEX(actual!A:A,MATCH(A104,actual!B:B,FALSE)), "")</f>
        <v/>
      </c>
      <c r="U104" s="7" t="str">
        <f>IFERROR(INDEX(actual!C:C,MATCH(A104,actual!B:B,FALSE)), "")</f>
        <v/>
      </c>
      <c r="V104" s="4" t="str">
        <f t="shared" si="60"/>
        <v>https://www.basketball-reference.com/international/players/giordano-bortolani-1.html</v>
      </c>
      <c r="W104" s="4" t="str">
        <f t="shared" si="42"/>
        <v>https://www.nbadraft.net/players/giordano-bortolani</v>
      </c>
      <c r="X104" s="17" t="str">
        <f t="shared" si="59"/>
        <v>https://www.nba.com/draft/2022/prospects/giordano-bortolani</v>
      </c>
      <c r="Z104" s="13">
        <f t="shared" si="51"/>
        <v>99</v>
      </c>
      <c r="AA104" s="13">
        <f t="shared" si="52"/>
        <v>90</v>
      </c>
      <c r="AB104" s="13">
        <f t="shared" si="53"/>
        <v>98</v>
      </c>
      <c r="AC104" s="12">
        <f t="shared" si="61"/>
        <v>1507</v>
      </c>
      <c r="AD104" s="20">
        <f t="shared" si="56"/>
        <v>804</v>
      </c>
      <c r="AE104" s="20">
        <f t="shared" si="56"/>
        <v>703</v>
      </c>
      <c r="AS104" s="13">
        <v>82</v>
      </c>
      <c r="AT104" s="13">
        <v>7</v>
      </c>
      <c r="AU104" s="13">
        <v>94</v>
      </c>
      <c r="AW104" s="2" t="str">
        <f>IFERROR(INDEX(measureables!$A:$J,MATCH($A104,measureables!$A:$A,FALSE),7), "")</f>
        <v/>
      </c>
      <c r="AX104" s="2" t="str">
        <f>IFERROR(INDEX(measureables!$A:$J,MATCH($A104,measureables!$A:$A,FALSE),9), "")</f>
        <v/>
      </c>
      <c r="AY104" s="2" t="str">
        <f>IFERROR(INDEX(measureables!$A:$J,MATCH($A104,measureables!$A:$A,FALSE),10), "")</f>
        <v/>
      </c>
      <c r="AZ104" s="2" t="str">
        <f>IFERROR(INDEX(measureables!$A:$J,MATCH($A104,measureables!$A:$A,FALSE),8), "")</f>
        <v/>
      </c>
      <c r="BA104" t="str">
        <f t="shared" si="57"/>
        <v>Giordano Bortolani</v>
      </c>
    </row>
    <row r="105" spans="1:53" ht="22" customHeight="1" x14ac:dyDescent="0.2">
      <c r="A105" t="s">
        <v>364</v>
      </c>
      <c r="B105" t="s">
        <v>13</v>
      </c>
      <c r="C105" s="3" t="s">
        <v>365</v>
      </c>
      <c r="D105" s="3" t="s">
        <v>73</v>
      </c>
      <c r="E105" s="9">
        <f t="shared" si="44"/>
        <v>25.595518150476579</v>
      </c>
      <c r="F105" s="7">
        <f t="shared" si="45"/>
        <v>79</v>
      </c>
      <c r="G105" s="7">
        <f t="shared" si="46"/>
        <v>210</v>
      </c>
      <c r="H105" s="7" t="str">
        <f t="shared" si="47"/>
        <v/>
      </c>
      <c r="I105" s="7" t="str">
        <f t="shared" si="48"/>
        <v/>
      </c>
      <c r="J105" s="7" t="str">
        <f t="shared" si="49"/>
        <v/>
      </c>
      <c r="K105" s="9" t="str">
        <f t="shared" si="50"/>
        <v/>
      </c>
      <c r="O105" s="3" t="s">
        <v>385</v>
      </c>
      <c r="Q105" s="19">
        <v>-1</v>
      </c>
      <c r="R105" s="3" t="str">
        <f t="shared" si="55"/>
        <v/>
      </c>
      <c r="S105" s="7">
        <f>IFERROR(IF(FLOOR(Q105,1)=FLOOR(Q104,1),S104, MAX(S$5:S104)+1),1)</f>
        <v>7</v>
      </c>
      <c r="T105" s="7" t="str">
        <f>IFERROR(INDEX(actual!A:A,MATCH(A105,actual!B:B,FALSE)), "")</f>
        <v/>
      </c>
      <c r="U105" s="7" t="str">
        <f>IFERROR(INDEX(actual!C:C,MATCH(A105,actual!B:B,FALSE)), "")</f>
        <v/>
      </c>
      <c r="V105" s="4" t="str">
        <f t="shared" si="60"/>
        <v>https://www.sports-reference.com/cbb/players/justin-bean-1.html</v>
      </c>
      <c r="W105" s="4" t="str">
        <f t="shared" si="42"/>
        <v>https://www.nbadraft.net/players/justin-bean</v>
      </c>
      <c r="X105" s="17" t="str">
        <f t="shared" si="59"/>
        <v>https://www.nba.com/draft/2022/prospects/justin-bean</v>
      </c>
      <c r="Y105" s="10">
        <v>35386</v>
      </c>
      <c r="Z105" s="13">
        <f t="shared" si="51"/>
        <v>100</v>
      </c>
      <c r="AA105" s="13">
        <f t="shared" si="52"/>
        <v>97</v>
      </c>
      <c r="AB105" s="13">
        <f t="shared" si="53"/>
        <v>97</v>
      </c>
      <c r="AC105" s="12">
        <f t="shared" si="61"/>
        <v>1519</v>
      </c>
      <c r="AD105" s="20">
        <f t="shared" si="56"/>
        <v>821</v>
      </c>
      <c r="AE105" s="20">
        <f t="shared" si="56"/>
        <v>698</v>
      </c>
      <c r="AF105" s="13">
        <v>73</v>
      </c>
      <c r="AG105" s="13">
        <v>13</v>
      </c>
      <c r="AL105" s="13">
        <v>35</v>
      </c>
      <c r="AS105" s="13">
        <v>99</v>
      </c>
      <c r="AT105" s="13">
        <v>7</v>
      </c>
      <c r="AW105" s="2" t="str">
        <f>IFERROR(INDEX(measureables!$A:$J,MATCH($A105,measureables!$A:$A,FALSE),7), "")</f>
        <v>6' 7''</v>
      </c>
      <c r="AX105" s="2">
        <f>IFERROR(INDEX(measureables!$A:$J,MATCH($A105,measureables!$A:$A,FALSE),9), "")</f>
        <v>210</v>
      </c>
      <c r="AY105" s="2">
        <f>IFERROR(INDEX(measureables!$A:$J,MATCH($A105,measureables!$A:$A,FALSE),10), "")</f>
        <v>0</v>
      </c>
      <c r="AZ105" s="2">
        <f>IFERROR(INDEX(measureables!$A:$J,MATCH($A105,measureables!$A:$A,FALSE),8), "")</f>
        <v>0</v>
      </c>
      <c r="BA105" t="str">
        <f t="shared" si="57"/>
        <v>Justin Bean</v>
      </c>
    </row>
  </sheetData>
  <autoFilter ref="A5:AZ105" xr:uid="{00000000-0009-0000-0000-000000000000}">
    <sortState ref="A6:AZ105">
      <sortCondition ref="AN5:AN105"/>
    </sortState>
  </autoFilter>
  <sortState ref="A5:BA105">
    <sortCondition descending="1" ref="Q5:Q105"/>
    <sortCondition ref="Z5:Z105"/>
  </sortState>
  <phoneticPr fontId="2" type="noConversion"/>
  <hyperlinks>
    <hyperlink ref="W50" r:id="rId1" xr:uid="{BD17D212-59C5-AC42-B45E-D8B5F3029B26}"/>
  </hyperlinks>
  <pageMargins left="0.7" right="0.7" top="0.75" bottom="0.75" header="0.3" footer="0.3"/>
  <pageSetup orientation="portrait" horizontalDpi="0" verticalDpi="0"/>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5"/>
  <sheetViews>
    <sheetView workbookViewId="0">
      <pane xSplit="2" ySplit="1" topLeftCell="C59" activePane="bottomRight" state="frozen"/>
      <selection pane="topRight" activeCell="C1" sqref="C1"/>
      <selection pane="bottomLeft" activeCell="A2" sqref="A2"/>
      <selection pane="bottomRight" activeCell="J77" sqref="J77"/>
    </sheetView>
  </sheetViews>
  <sheetFormatPr baseColWidth="10" defaultRowHeight="16" x14ac:dyDescent="0.2"/>
  <cols>
    <col min="1" max="1" width="22.33203125" bestFit="1" customWidth="1"/>
    <col min="2" max="2" width="7" customWidth="1"/>
    <col min="3" max="3" width="14" customWidth="1"/>
    <col min="4" max="4" width="23.6640625" customWidth="1"/>
    <col min="5" max="5" width="22.6640625" customWidth="1"/>
    <col min="6" max="6" width="20.5" customWidth="1"/>
    <col min="7" max="7" width="19.1640625" style="5" customWidth="1"/>
    <col min="8" max="8" width="18.5" customWidth="1"/>
    <col min="9" max="9" width="15.33203125" customWidth="1"/>
    <col min="10" max="10" width="13.1640625" style="5" bestFit="1" customWidth="1"/>
  </cols>
  <sheetData>
    <row r="1" spans="1:10" x14ac:dyDescent="0.2">
      <c r="A1" t="s">
        <v>109</v>
      </c>
      <c r="B1" t="s">
        <v>22</v>
      </c>
      <c r="C1" t="s">
        <v>23</v>
      </c>
      <c r="D1" t="s">
        <v>24</v>
      </c>
      <c r="E1" t="s">
        <v>25</v>
      </c>
      <c r="F1" t="s">
        <v>26</v>
      </c>
      <c r="G1" s="5" t="s">
        <v>27</v>
      </c>
      <c r="H1" t="s">
        <v>28</v>
      </c>
      <c r="I1" t="s">
        <v>29</v>
      </c>
      <c r="J1" s="5" t="s">
        <v>30</v>
      </c>
    </row>
    <row r="2" spans="1:10" x14ac:dyDescent="0.2">
      <c r="A2" t="s">
        <v>110</v>
      </c>
      <c r="B2" t="s">
        <v>12</v>
      </c>
      <c r="C2" s="1">
        <v>5.3999999999999999E-2</v>
      </c>
      <c r="D2">
        <v>9</v>
      </c>
      <c r="E2">
        <v>9.75</v>
      </c>
      <c r="F2" t="s">
        <v>111</v>
      </c>
      <c r="G2" t="s">
        <v>112</v>
      </c>
      <c r="H2" t="s">
        <v>113</v>
      </c>
      <c r="I2">
        <v>242.4</v>
      </c>
      <c r="J2" t="s">
        <v>114</v>
      </c>
    </row>
    <row r="3" spans="1:10" x14ac:dyDescent="0.2">
      <c r="A3" t="s">
        <v>115</v>
      </c>
      <c r="B3" t="s">
        <v>12</v>
      </c>
      <c r="C3" s="1">
        <v>0.14699999999999999</v>
      </c>
      <c r="D3">
        <v>8.5</v>
      </c>
      <c r="E3">
        <v>8.5</v>
      </c>
      <c r="F3" t="s">
        <v>116</v>
      </c>
      <c r="G3" t="s">
        <v>117</v>
      </c>
      <c r="H3" t="s">
        <v>118</v>
      </c>
      <c r="I3">
        <v>256</v>
      </c>
      <c r="J3" t="s">
        <v>119</v>
      </c>
    </row>
    <row r="4" spans="1:10" x14ac:dyDescent="0.2">
      <c r="A4" t="s">
        <v>120</v>
      </c>
      <c r="B4" t="s">
        <v>12</v>
      </c>
      <c r="C4" s="1">
        <v>5.7000000000000002E-2</v>
      </c>
      <c r="D4">
        <v>9</v>
      </c>
      <c r="E4">
        <v>10.75</v>
      </c>
      <c r="F4" t="s">
        <v>121</v>
      </c>
      <c r="G4" t="s">
        <v>111</v>
      </c>
      <c r="H4" t="s">
        <v>118</v>
      </c>
      <c r="I4">
        <v>221</v>
      </c>
      <c r="J4" t="s">
        <v>122</v>
      </c>
    </row>
    <row r="5" spans="1:10" x14ac:dyDescent="0.2">
      <c r="A5" t="s">
        <v>123</v>
      </c>
      <c r="B5" t="s">
        <v>13</v>
      </c>
      <c r="C5" s="1">
        <v>4.7E-2</v>
      </c>
      <c r="D5">
        <v>8.5</v>
      </c>
      <c r="E5">
        <v>8.75</v>
      </c>
      <c r="F5" t="s">
        <v>124</v>
      </c>
      <c r="G5" t="s">
        <v>125</v>
      </c>
      <c r="H5" t="s">
        <v>126</v>
      </c>
      <c r="I5">
        <v>174.4</v>
      </c>
      <c r="J5" t="s">
        <v>127</v>
      </c>
    </row>
    <row r="6" spans="1:10" x14ac:dyDescent="0.2">
      <c r="A6" t="s">
        <v>128</v>
      </c>
      <c r="B6" t="s">
        <v>12</v>
      </c>
      <c r="C6" s="1">
        <v>9.5000000000000001E-2</v>
      </c>
      <c r="D6">
        <v>8.75</v>
      </c>
      <c r="E6">
        <v>10</v>
      </c>
      <c r="F6" t="s">
        <v>129</v>
      </c>
      <c r="G6" t="s">
        <v>130</v>
      </c>
      <c r="H6" t="s">
        <v>131</v>
      </c>
      <c r="I6">
        <v>244.4</v>
      </c>
      <c r="J6" t="s">
        <v>132</v>
      </c>
    </row>
    <row r="7" spans="1:10" x14ac:dyDescent="0.2">
      <c r="A7" t="s">
        <v>133</v>
      </c>
      <c r="B7" t="s">
        <v>14</v>
      </c>
      <c r="C7" s="1">
        <v>8.8999999999999996E-2</v>
      </c>
      <c r="D7">
        <v>8.75</v>
      </c>
      <c r="E7">
        <v>9.5</v>
      </c>
      <c r="F7" t="s">
        <v>134</v>
      </c>
      <c r="G7" t="s">
        <v>135</v>
      </c>
      <c r="H7" t="s">
        <v>136</v>
      </c>
      <c r="I7">
        <v>230.8</v>
      </c>
      <c r="J7" t="s">
        <v>137</v>
      </c>
    </row>
    <row r="8" spans="1:10" x14ac:dyDescent="0.2">
      <c r="A8" t="s">
        <v>138</v>
      </c>
      <c r="B8" t="s">
        <v>12</v>
      </c>
      <c r="C8" s="1">
        <v>8.2000000000000003E-2</v>
      </c>
      <c r="D8">
        <v>9.75</v>
      </c>
      <c r="E8">
        <v>10.25</v>
      </c>
      <c r="F8" t="s">
        <v>130</v>
      </c>
      <c r="G8" t="s">
        <v>111</v>
      </c>
      <c r="H8" t="s">
        <v>136</v>
      </c>
      <c r="I8">
        <v>293</v>
      </c>
      <c r="J8" t="s">
        <v>119</v>
      </c>
    </row>
    <row r="9" spans="1:10" x14ac:dyDescent="0.2">
      <c r="A9" t="s">
        <v>139</v>
      </c>
      <c r="B9" t="s">
        <v>12</v>
      </c>
      <c r="C9" s="1">
        <v>2.7E-2</v>
      </c>
      <c r="D9">
        <v>8.5</v>
      </c>
      <c r="E9">
        <v>10.5</v>
      </c>
      <c r="F9" t="s">
        <v>134</v>
      </c>
      <c r="G9" t="s">
        <v>135</v>
      </c>
      <c r="H9" t="s">
        <v>140</v>
      </c>
      <c r="I9">
        <v>216.6</v>
      </c>
      <c r="J9" t="s">
        <v>141</v>
      </c>
    </row>
    <row r="10" spans="1:10" x14ac:dyDescent="0.2">
      <c r="A10" t="s">
        <v>142</v>
      </c>
      <c r="B10" t="s">
        <v>12</v>
      </c>
      <c r="C10" s="1">
        <v>6.2E-2</v>
      </c>
      <c r="D10">
        <v>8.75</v>
      </c>
      <c r="E10">
        <v>10</v>
      </c>
      <c r="F10" t="s">
        <v>143</v>
      </c>
      <c r="G10" t="s">
        <v>134</v>
      </c>
      <c r="H10" t="s">
        <v>140</v>
      </c>
      <c r="I10">
        <v>236.6</v>
      </c>
      <c r="J10" t="s">
        <v>116</v>
      </c>
    </row>
    <row r="11" spans="1:10" x14ac:dyDescent="0.2">
      <c r="A11" t="s">
        <v>144</v>
      </c>
      <c r="B11" t="s">
        <v>13</v>
      </c>
      <c r="C11" s="1">
        <v>5.8999999999999997E-2</v>
      </c>
      <c r="D11">
        <v>9</v>
      </c>
      <c r="E11">
        <v>10.5</v>
      </c>
      <c r="F11" t="s">
        <v>145</v>
      </c>
      <c r="G11" t="s">
        <v>129</v>
      </c>
      <c r="H11" t="s">
        <v>146</v>
      </c>
      <c r="I11">
        <v>221</v>
      </c>
      <c r="J11" t="s">
        <v>147</v>
      </c>
    </row>
    <row r="12" spans="1:10" x14ac:dyDescent="0.2">
      <c r="A12" t="s">
        <v>148</v>
      </c>
      <c r="B12" t="s">
        <v>14</v>
      </c>
      <c r="C12" s="1">
        <v>7.3999999999999996E-2</v>
      </c>
      <c r="D12">
        <v>8.75</v>
      </c>
      <c r="E12">
        <v>9.75</v>
      </c>
      <c r="F12" t="s">
        <v>149</v>
      </c>
      <c r="G12" t="s">
        <v>130</v>
      </c>
      <c r="H12" t="s">
        <v>146</v>
      </c>
      <c r="I12">
        <v>222.6</v>
      </c>
      <c r="J12" t="s">
        <v>116</v>
      </c>
    </row>
    <row r="13" spans="1:10" x14ac:dyDescent="0.2">
      <c r="A13" t="s">
        <v>150</v>
      </c>
      <c r="B13" t="s">
        <v>12</v>
      </c>
      <c r="C13" s="1">
        <v>0.08</v>
      </c>
      <c r="D13">
        <v>8.5</v>
      </c>
      <c r="E13">
        <v>10.5</v>
      </c>
      <c r="F13" t="s">
        <v>145</v>
      </c>
      <c r="G13" t="s">
        <v>151</v>
      </c>
      <c r="H13" t="s">
        <v>146</v>
      </c>
      <c r="I13">
        <v>236.6</v>
      </c>
      <c r="J13" t="s">
        <v>117</v>
      </c>
    </row>
    <row r="14" spans="1:10" x14ac:dyDescent="0.2">
      <c r="A14" t="s">
        <v>152</v>
      </c>
      <c r="B14" t="s">
        <v>12</v>
      </c>
      <c r="C14" s="1">
        <v>0.108</v>
      </c>
      <c r="D14">
        <v>9</v>
      </c>
      <c r="E14">
        <v>10.25</v>
      </c>
      <c r="F14" t="s">
        <v>153</v>
      </c>
      <c r="G14" t="s">
        <v>145</v>
      </c>
      <c r="H14" t="s">
        <v>146</v>
      </c>
      <c r="I14">
        <v>264.60000000000002</v>
      </c>
      <c r="J14" t="s">
        <v>154</v>
      </c>
    </row>
    <row r="15" spans="1:10" x14ac:dyDescent="0.2">
      <c r="A15" t="s">
        <v>155</v>
      </c>
      <c r="B15" t="s">
        <v>13</v>
      </c>
      <c r="C15" s="1">
        <v>5.8999999999999997E-2</v>
      </c>
      <c r="D15">
        <v>9.25</v>
      </c>
      <c r="E15">
        <v>11</v>
      </c>
      <c r="F15" t="s">
        <v>156</v>
      </c>
      <c r="G15" t="s">
        <v>157</v>
      </c>
      <c r="H15" t="s">
        <v>158</v>
      </c>
      <c r="I15">
        <v>217.4</v>
      </c>
      <c r="J15" t="s">
        <v>112</v>
      </c>
    </row>
    <row r="16" spans="1:10" x14ac:dyDescent="0.2">
      <c r="A16" t="s">
        <v>159</v>
      </c>
      <c r="B16" t="s">
        <v>12</v>
      </c>
      <c r="C16" s="1">
        <v>0.157</v>
      </c>
      <c r="D16">
        <v>9</v>
      </c>
      <c r="E16">
        <v>10</v>
      </c>
      <c r="F16" t="s">
        <v>160</v>
      </c>
      <c r="G16" t="s">
        <v>134</v>
      </c>
      <c r="H16" t="s">
        <v>158</v>
      </c>
      <c r="I16">
        <v>231.6</v>
      </c>
      <c r="J16" t="s">
        <v>112</v>
      </c>
    </row>
    <row r="17" spans="1:10" x14ac:dyDescent="0.2">
      <c r="A17" t="s">
        <v>161</v>
      </c>
      <c r="B17" t="s">
        <v>14</v>
      </c>
      <c r="C17" s="1">
        <v>5.1999999999999998E-2</v>
      </c>
      <c r="D17">
        <v>8.5</v>
      </c>
      <c r="E17">
        <v>9.5</v>
      </c>
      <c r="F17" t="s">
        <v>156</v>
      </c>
      <c r="G17" t="s">
        <v>157</v>
      </c>
      <c r="H17" t="s">
        <v>158</v>
      </c>
      <c r="I17">
        <v>203.4</v>
      </c>
      <c r="J17" t="s">
        <v>162</v>
      </c>
    </row>
    <row r="18" spans="1:10" x14ac:dyDescent="0.2">
      <c r="A18" t="s">
        <v>50</v>
      </c>
      <c r="B18" t="s">
        <v>14</v>
      </c>
      <c r="C18" s="1">
        <v>7.0999999999999994E-2</v>
      </c>
      <c r="D18">
        <v>8.75</v>
      </c>
      <c r="E18">
        <v>9.25</v>
      </c>
      <c r="F18" t="s">
        <v>163</v>
      </c>
      <c r="G18" t="s">
        <v>143</v>
      </c>
      <c r="H18" t="s">
        <v>164</v>
      </c>
      <c r="I18">
        <v>212.4</v>
      </c>
      <c r="J18" t="s">
        <v>151</v>
      </c>
    </row>
    <row r="19" spans="1:10" x14ac:dyDescent="0.2">
      <c r="A19" t="s">
        <v>165</v>
      </c>
      <c r="B19" t="s">
        <v>14</v>
      </c>
      <c r="C19" s="1">
        <v>5.7000000000000002E-2</v>
      </c>
      <c r="D19">
        <v>9.25</v>
      </c>
      <c r="E19">
        <v>10.5</v>
      </c>
      <c r="F19" t="s">
        <v>166</v>
      </c>
      <c r="G19" t="s">
        <v>151</v>
      </c>
      <c r="H19" t="s">
        <v>167</v>
      </c>
      <c r="I19">
        <v>211</v>
      </c>
      <c r="J19" t="s">
        <v>112</v>
      </c>
    </row>
    <row r="20" spans="1:10" x14ac:dyDescent="0.2">
      <c r="A20" t="s">
        <v>168</v>
      </c>
      <c r="B20" t="s">
        <v>16</v>
      </c>
      <c r="C20" s="1">
        <v>5.2999999999999999E-2</v>
      </c>
      <c r="D20">
        <v>9</v>
      </c>
      <c r="E20">
        <v>9</v>
      </c>
      <c r="F20" t="s">
        <v>169</v>
      </c>
      <c r="G20" t="s">
        <v>170</v>
      </c>
      <c r="H20" t="s">
        <v>171</v>
      </c>
      <c r="I20">
        <v>196.6</v>
      </c>
      <c r="J20" t="s">
        <v>125</v>
      </c>
    </row>
    <row r="21" spans="1:10" x14ac:dyDescent="0.2">
      <c r="A21" t="s">
        <v>172</v>
      </c>
      <c r="B21" t="s">
        <v>51</v>
      </c>
      <c r="C21" s="1">
        <v>3.7999999999999999E-2</v>
      </c>
      <c r="D21">
        <v>8</v>
      </c>
      <c r="E21">
        <v>9.25</v>
      </c>
      <c r="F21" t="s">
        <v>173</v>
      </c>
      <c r="G21" t="s">
        <v>143</v>
      </c>
      <c r="H21" t="s">
        <v>171</v>
      </c>
      <c r="I21">
        <v>192.8</v>
      </c>
      <c r="J21" t="s">
        <v>157</v>
      </c>
    </row>
    <row r="22" spans="1:10" x14ac:dyDescent="0.2">
      <c r="A22" t="s">
        <v>174</v>
      </c>
      <c r="B22" t="s">
        <v>16</v>
      </c>
      <c r="C22" s="1">
        <v>5.3999999999999999E-2</v>
      </c>
      <c r="D22">
        <v>8.5</v>
      </c>
      <c r="E22">
        <v>9</v>
      </c>
      <c r="F22" t="s">
        <v>175</v>
      </c>
      <c r="G22" t="s">
        <v>153</v>
      </c>
      <c r="H22" t="s">
        <v>171</v>
      </c>
      <c r="I22">
        <v>195.2</v>
      </c>
      <c r="J22" t="s">
        <v>125</v>
      </c>
    </row>
    <row r="23" spans="1:10" x14ac:dyDescent="0.2">
      <c r="A23" t="s">
        <v>176</v>
      </c>
      <c r="B23" t="s">
        <v>14</v>
      </c>
      <c r="C23" s="1">
        <v>0.14299999999999999</v>
      </c>
      <c r="D23">
        <v>9.5</v>
      </c>
      <c r="E23">
        <v>10</v>
      </c>
      <c r="F23" t="s">
        <v>177</v>
      </c>
      <c r="G23" t="s">
        <v>178</v>
      </c>
      <c r="H23" t="s">
        <v>179</v>
      </c>
      <c r="I23">
        <v>240.4</v>
      </c>
      <c r="J23" t="s">
        <v>180</v>
      </c>
    </row>
    <row r="24" spans="1:10" x14ac:dyDescent="0.2">
      <c r="A24" t="s">
        <v>181</v>
      </c>
      <c r="B24" t="s">
        <v>13</v>
      </c>
      <c r="C24" s="1">
        <v>7.2999999999999995E-2</v>
      </c>
      <c r="D24">
        <v>9</v>
      </c>
      <c r="E24">
        <v>10.5</v>
      </c>
      <c r="F24" t="s">
        <v>163</v>
      </c>
      <c r="G24" t="s">
        <v>182</v>
      </c>
      <c r="H24" t="s">
        <v>179</v>
      </c>
      <c r="I24">
        <v>235.4</v>
      </c>
      <c r="J24" t="s">
        <v>141</v>
      </c>
    </row>
    <row r="25" spans="1:10" x14ac:dyDescent="0.2">
      <c r="A25" t="s">
        <v>183</v>
      </c>
      <c r="B25" t="s">
        <v>16</v>
      </c>
      <c r="C25" s="1">
        <v>8.8999999999999996E-2</v>
      </c>
      <c r="D25">
        <v>8.5</v>
      </c>
      <c r="E25">
        <v>9.5</v>
      </c>
      <c r="F25" t="s">
        <v>184</v>
      </c>
      <c r="G25" t="s">
        <v>173</v>
      </c>
      <c r="H25" t="s">
        <v>179</v>
      </c>
      <c r="I25">
        <v>209.2</v>
      </c>
      <c r="J25" t="s">
        <v>127</v>
      </c>
    </row>
    <row r="26" spans="1:10" x14ac:dyDescent="0.2">
      <c r="A26" t="s">
        <v>185</v>
      </c>
      <c r="B26" t="s">
        <v>16</v>
      </c>
      <c r="C26" s="1">
        <v>4.9000000000000002E-2</v>
      </c>
      <c r="D26">
        <v>8.5</v>
      </c>
      <c r="E26">
        <v>9.75</v>
      </c>
      <c r="F26" t="s">
        <v>175</v>
      </c>
      <c r="G26" t="s">
        <v>182</v>
      </c>
      <c r="H26" t="s">
        <v>186</v>
      </c>
      <c r="I26">
        <v>195.2</v>
      </c>
      <c r="J26" t="s">
        <v>187</v>
      </c>
    </row>
    <row r="27" spans="1:10" x14ac:dyDescent="0.2">
      <c r="A27" t="s">
        <v>53</v>
      </c>
      <c r="B27" t="s">
        <v>14</v>
      </c>
      <c r="C27" s="1">
        <v>0.111</v>
      </c>
      <c r="D27">
        <v>9</v>
      </c>
      <c r="E27">
        <v>10.25</v>
      </c>
      <c r="F27" t="s">
        <v>157</v>
      </c>
      <c r="G27" t="s">
        <v>134</v>
      </c>
      <c r="H27" t="s">
        <v>186</v>
      </c>
      <c r="I27">
        <v>216.4</v>
      </c>
      <c r="J27" t="s">
        <v>187</v>
      </c>
    </row>
    <row r="28" spans="1:10" x14ac:dyDescent="0.2">
      <c r="A28" t="s">
        <v>188</v>
      </c>
      <c r="B28" t="s">
        <v>13</v>
      </c>
      <c r="C28" s="1">
        <v>0.11600000000000001</v>
      </c>
      <c r="D28">
        <v>8.75</v>
      </c>
      <c r="E28">
        <v>10</v>
      </c>
      <c r="F28" t="s">
        <v>184</v>
      </c>
      <c r="G28" t="s">
        <v>175</v>
      </c>
      <c r="H28" t="s">
        <v>186</v>
      </c>
      <c r="I28">
        <v>260.8</v>
      </c>
      <c r="J28" t="s">
        <v>189</v>
      </c>
    </row>
    <row r="29" spans="1:10" x14ac:dyDescent="0.2">
      <c r="A29" t="s">
        <v>190</v>
      </c>
      <c r="B29" t="s">
        <v>13</v>
      </c>
      <c r="C29" s="1">
        <v>0.121</v>
      </c>
      <c r="D29">
        <v>8.75</v>
      </c>
      <c r="E29">
        <v>9.75</v>
      </c>
      <c r="F29" t="s">
        <v>156</v>
      </c>
      <c r="G29" t="s">
        <v>157</v>
      </c>
      <c r="H29" t="s">
        <v>186</v>
      </c>
      <c r="I29">
        <v>213.8</v>
      </c>
      <c r="J29" t="s">
        <v>121</v>
      </c>
    </row>
    <row r="30" spans="1:10" x14ac:dyDescent="0.2">
      <c r="A30" t="s">
        <v>191</v>
      </c>
      <c r="B30" t="s">
        <v>14</v>
      </c>
      <c r="C30" s="1">
        <v>7.9000000000000001E-2</v>
      </c>
      <c r="D30">
        <v>8.25</v>
      </c>
      <c r="E30">
        <v>8.5</v>
      </c>
      <c r="F30" t="s">
        <v>173</v>
      </c>
      <c r="G30" t="s">
        <v>192</v>
      </c>
      <c r="H30" t="s">
        <v>193</v>
      </c>
      <c r="I30">
        <v>207.6</v>
      </c>
      <c r="J30" t="s">
        <v>149</v>
      </c>
    </row>
    <row r="31" spans="1:10" x14ac:dyDescent="0.2">
      <c r="A31" t="s">
        <v>52</v>
      </c>
      <c r="B31" t="s">
        <v>16</v>
      </c>
      <c r="C31" s="1">
        <v>5.3999999999999999E-2</v>
      </c>
      <c r="D31">
        <v>8.75</v>
      </c>
      <c r="E31">
        <v>9.5</v>
      </c>
      <c r="F31" t="s">
        <v>184</v>
      </c>
      <c r="G31" t="s">
        <v>173</v>
      </c>
      <c r="H31" t="s">
        <v>194</v>
      </c>
      <c r="I31">
        <v>216.8</v>
      </c>
      <c r="J31" t="s">
        <v>135</v>
      </c>
    </row>
    <row r="32" spans="1:10" x14ac:dyDescent="0.2">
      <c r="A32" t="s">
        <v>195</v>
      </c>
      <c r="B32" t="s">
        <v>13</v>
      </c>
      <c r="C32" s="1">
        <v>0.09</v>
      </c>
      <c r="D32">
        <v>8.5</v>
      </c>
      <c r="E32">
        <v>10.25</v>
      </c>
      <c r="F32" t="s">
        <v>156</v>
      </c>
      <c r="G32" t="s">
        <v>157</v>
      </c>
      <c r="H32" t="s">
        <v>194</v>
      </c>
      <c r="I32">
        <v>227.2</v>
      </c>
      <c r="J32" t="s">
        <v>149</v>
      </c>
    </row>
    <row r="33" spans="1:10" x14ac:dyDescent="0.2">
      <c r="A33" t="s">
        <v>196</v>
      </c>
      <c r="B33" t="s">
        <v>16</v>
      </c>
      <c r="C33" s="1">
        <v>5.7000000000000002E-2</v>
      </c>
      <c r="D33">
        <v>8.5</v>
      </c>
      <c r="E33">
        <v>9.75</v>
      </c>
      <c r="F33" t="s">
        <v>184</v>
      </c>
      <c r="G33" t="s">
        <v>175</v>
      </c>
      <c r="H33" t="s">
        <v>194</v>
      </c>
      <c r="I33">
        <v>204.6</v>
      </c>
      <c r="J33" t="s">
        <v>197</v>
      </c>
    </row>
    <row r="34" spans="1:10" x14ac:dyDescent="0.2">
      <c r="A34" t="s">
        <v>198</v>
      </c>
      <c r="B34" t="s">
        <v>51</v>
      </c>
      <c r="C34" s="1">
        <v>5.0999999999999997E-2</v>
      </c>
      <c r="D34">
        <v>8.75</v>
      </c>
      <c r="E34">
        <v>9.5</v>
      </c>
      <c r="F34" t="s">
        <v>199</v>
      </c>
      <c r="G34" t="s">
        <v>200</v>
      </c>
      <c r="H34" t="s">
        <v>194</v>
      </c>
      <c r="I34">
        <v>212.8</v>
      </c>
      <c r="J34" t="s">
        <v>130</v>
      </c>
    </row>
    <row r="35" spans="1:10" x14ac:dyDescent="0.2">
      <c r="A35" t="s">
        <v>201</v>
      </c>
      <c r="B35" t="s">
        <v>15</v>
      </c>
      <c r="C35" s="1">
        <v>6.7000000000000004E-2</v>
      </c>
      <c r="D35">
        <v>8.5</v>
      </c>
      <c r="E35">
        <v>10.25</v>
      </c>
      <c r="F35" t="s">
        <v>202</v>
      </c>
      <c r="G35" t="s">
        <v>173</v>
      </c>
      <c r="H35" t="s">
        <v>203</v>
      </c>
      <c r="I35">
        <v>196.4</v>
      </c>
      <c r="J35" t="s">
        <v>166</v>
      </c>
    </row>
    <row r="36" spans="1:10" x14ac:dyDescent="0.2">
      <c r="A36" t="s">
        <v>204</v>
      </c>
      <c r="B36" t="s">
        <v>14</v>
      </c>
      <c r="C36" s="1">
        <v>8.3000000000000004E-2</v>
      </c>
      <c r="D36">
        <v>9</v>
      </c>
      <c r="E36">
        <v>10</v>
      </c>
      <c r="F36" t="s">
        <v>169</v>
      </c>
      <c r="G36" t="s">
        <v>192</v>
      </c>
      <c r="H36" t="s">
        <v>203</v>
      </c>
      <c r="I36">
        <v>232.8</v>
      </c>
      <c r="J36" t="s">
        <v>116</v>
      </c>
    </row>
    <row r="37" spans="1:10" x14ac:dyDescent="0.2">
      <c r="A37" t="s">
        <v>205</v>
      </c>
      <c r="B37" t="s">
        <v>13</v>
      </c>
      <c r="C37" s="1">
        <v>0.122</v>
      </c>
      <c r="D37">
        <v>8.25</v>
      </c>
      <c r="E37">
        <v>9.25</v>
      </c>
      <c r="F37" t="s">
        <v>178</v>
      </c>
      <c r="G37" t="s">
        <v>192</v>
      </c>
      <c r="H37" t="s">
        <v>203</v>
      </c>
      <c r="I37">
        <v>243</v>
      </c>
      <c r="J37" t="s">
        <v>124</v>
      </c>
    </row>
    <row r="38" spans="1:10" x14ac:dyDescent="0.2">
      <c r="A38" t="s">
        <v>206</v>
      </c>
      <c r="B38" t="s">
        <v>16</v>
      </c>
      <c r="C38" s="1">
        <v>5.3999999999999999E-2</v>
      </c>
      <c r="D38">
        <v>8.75</v>
      </c>
      <c r="E38">
        <v>9.5</v>
      </c>
      <c r="F38" t="s">
        <v>169</v>
      </c>
      <c r="G38" t="s">
        <v>170</v>
      </c>
      <c r="H38" t="s">
        <v>203</v>
      </c>
      <c r="I38">
        <v>181.2</v>
      </c>
      <c r="J38" t="s">
        <v>145</v>
      </c>
    </row>
    <row r="39" spans="1:10" x14ac:dyDescent="0.2">
      <c r="A39" t="s">
        <v>207</v>
      </c>
      <c r="B39" t="s">
        <v>16</v>
      </c>
      <c r="C39" s="1">
        <v>0.04</v>
      </c>
      <c r="D39">
        <v>8.5</v>
      </c>
      <c r="E39">
        <v>9.5</v>
      </c>
      <c r="F39" t="s">
        <v>208</v>
      </c>
      <c r="G39" t="s">
        <v>173</v>
      </c>
      <c r="H39" t="s">
        <v>203</v>
      </c>
      <c r="I39">
        <v>182.4</v>
      </c>
      <c r="J39" t="s">
        <v>145</v>
      </c>
    </row>
    <row r="40" spans="1:10" x14ac:dyDescent="0.2">
      <c r="A40" t="s">
        <v>209</v>
      </c>
      <c r="B40" t="s">
        <v>16</v>
      </c>
      <c r="C40" s="1">
        <v>4.8000000000000001E-2</v>
      </c>
      <c r="D40">
        <v>9</v>
      </c>
      <c r="E40">
        <v>9.25</v>
      </c>
      <c r="F40" t="s">
        <v>202</v>
      </c>
      <c r="G40" t="s">
        <v>169</v>
      </c>
      <c r="H40" t="s">
        <v>203</v>
      </c>
      <c r="I40">
        <v>198</v>
      </c>
      <c r="J40" t="s">
        <v>189</v>
      </c>
    </row>
    <row r="41" spans="1:10" x14ac:dyDescent="0.2">
      <c r="A41" t="s">
        <v>210</v>
      </c>
      <c r="B41" t="s">
        <v>14</v>
      </c>
      <c r="C41" s="1">
        <v>4.9000000000000002E-2</v>
      </c>
      <c r="D41">
        <v>9</v>
      </c>
      <c r="E41">
        <v>9</v>
      </c>
      <c r="F41" t="s">
        <v>163</v>
      </c>
      <c r="G41" t="s">
        <v>182</v>
      </c>
      <c r="H41" t="s">
        <v>211</v>
      </c>
      <c r="I41">
        <v>201.2</v>
      </c>
      <c r="J41" t="s">
        <v>130</v>
      </c>
    </row>
    <row r="42" spans="1:10" x14ac:dyDescent="0.2">
      <c r="A42" t="s">
        <v>212</v>
      </c>
      <c r="B42" t="s">
        <v>16</v>
      </c>
      <c r="C42" s="1">
        <v>5.6000000000000001E-2</v>
      </c>
      <c r="D42">
        <v>8.25</v>
      </c>
      <c r="E42">
        <v>9</v>
      </c>
      <c r="F42" t="s">
        <v>213</v>
      </c>
      <c r="G42" t="s">
        <v>202</v>
      </c>
      <c r="H42" t="s">
        <v>211</v>
      </c>
      <c r="I42">
        <v>187.2</v>
      </c>
      <c r="J42" t="s">
        <v>134</v>
      </c>
    </row>
    <row r="43" spans="1:10" x14ac:dyDescent="0.2">
      <c r="A43" t="s">
        <v>214</v>
      </c>
      <c r="B43" t="s">
        <v>16</v>
      </c>
      <c r="C43" s="1">
        <v>6.0999999999999999E-2</v>
      </c>
      <c r="D43">
        <v>8.5</v>
      </c>
      <c r="E43">
        <v>9.75</v>
      </c>
      <c r="F43" t="s">
        <v>177</v>
      </c>
      <c r="G43" t="s">
        <v>178</v>
      </c>
      <c r="H43" t="s">
        <v>215</v>
      </c>
      <c r="I43">
        <v>194.8</v>
      </c>
      <c r="J43" t="s">
        <v>151</v>
      </c>
    </row>
    <row r="44" spans="1:10" x14ac:dyDescent="0.2">
      <c r="A44" t="s">
        <v>216</v>
      </c>
      <c r="B44" t="s">
        <v>16</v>
      </c>
      <c r="C44" s="1">
        <v>4.8000000000000001E-2</v>
      </c>
      <c r="D44">
        <v>8</v>
      </c>
      <c r="E44">
        <v>8.5</v>
      </c>
      <c r="F44" t="s">
        <v>202</v>
      </c>
      <c r="G44" t="s">
        <v>173</v>
      </c>
      <c r="H44" t="s">
        <v>215</v>
      </c>
      <c r="I44">
        <v>189.2</v>
      </c>
      <c r="J44" t="s">
        <v>145</v>
      </c>
    </row>
    <row r="45" spans="1:10" x14ac:dyDescent="0.2">
      <c r="A45" t="s">
        <v>49</v>
      </c>
      <c r="B45" t="s">
        <v>16</v>
      </c>
      <c r="C45" s="1">
        <v>7.4999999999999997E-2</v>
      </c>
      <c r="D45">
        <v>8.5</v>
      </c>
      <c r="E45">
        <v>9.5</v>
      </c>
      <c r="F45" t="s">
        <v>169</v>
      </c>
      <c r="G45" t="s">
        <v>170</v>
      </c>
      <c r="H45" t="s">
        <v>215</v>
      </c>
      <c r="I45">
        <v>208.6</v>
      </c>
      <c r="J45" t="s">
        <v>130</v>
      </c>
    </row>
    <row r="46" spans="1:10" x14ac:dyDescent="0.2">
      <c r="A46" t="s">
        <v>217</v>
      </c>
      <c r="B46" t="s">
        <v>16</v>
      </c>
      <c r="C46" s="1">
        <v>8.7999999999999995E-2</v>
      </c>
      <c r="D46">
        <v>7.5</v>
      </c>
      <c r="E46">
        <v>8.5</v>
      </c>
      <c r="F46" t="s">
        <v>184</v>
      </c>
      <c r="G46" t="s">
        <v>173</v>
      </c>
      <c r="H46" t="s">
        <v>218</v>
      </c>
      <c r="I46">
        <v>180.4</v>
      </c>
      <c r="J46" t="s">
        <v>178</v>
      </c>
    </row>
    <row r="47" spans="1:10" x14ac:dyDescent="0.2">
      <c r="A47" t="s">
        <v>219</v>
      </c>
      <c r="B47" t="s">
        <v>16</v>
      </c>
      <c r="C47" s="1">
        <v>3.7999999999999999E-2</v>
      </c>
      <c r="D47">
        <v>8</v>
      </c>
      <c r="E47">
        <v>9.25</v>
      </c>
      <c r="F47" t="s">
        <v>199</v>
      </c>
      <c r="G47" t="s">
        <v>208</v>
      </c>
      <c r="H47" t="s">
        <v>218</v>
      </c>
      <c r="I47">
        <v>167.4</v>
      </c>
      <c r="J47" t="s">
        <v>166</v>
      </c>
    </row>
    <row r="48" spans="1:10" x14ac:dyDescent="0.2">
      <c r="A48" t="s">
        <v>220</v>
      </c>
      <c r="B48" t="s">
        <v>15</v>
      </c>
      <c r="C48" s="1">
        <v>8.5999999999999993E-2</v>
      </c>
      <c r="D48">
        <v>8.25</v>
      </c>
      <c r="E48">
        <v>10</v>
      </c>
      <c r="F48" t="s">
        <v>177</v>
      </c>
      <c r="G48" t="s">
        <v>178</v>
      </c>
      <c r="H48" t="s">
        <v>218</v>
      </c>
      <c r="I48">
        <v>196.2</v>
      </c>
      <c r="J48" t="s">
        <v>157</v>
      </c>
    </row>
    <row r="49" spans="1:10" x14ac:dyDescent="0.2">
      <c r="A49" t="s">
        <v>221</v>
      </c>
      <c r="B49" t="s">
        <v>16</v>
      </c>
      <c r="C49" s="1">
        <v>7.1999999999999995E-2</v>
      </c>
      <c r="D49">
        <v>8.5</v>
      </c>
      <c r="E49">
        <v>9.25</v>
      </c>
      <c r="F49" t="s">
        <v>222</v>
      </c>
      <c r="G49" t="s">
        <v>200</v>
      </c>
      <c r="H49" t="s">
        <v>218</v>
      </c>
      <c r="I49">
        <v>209</v>
      </c>
      <c r="J49" t="s">
        <v>192</v>
      </c>
    </row>
    <row r="50" spans="1:10" x14ac:dyDescent="0.2">
      <c r="A50" t="s">
        <v>223</v>
      </c>
      <c r="B50" t="s">
        <v>16</v>
      </c>
      <c r="C50" s="1">
        <v>0.13500000000000001</v>
      </c>
      <c r="D50">
        <v>8.25</v>
      </c>
      <c r="E50">
        <v>9</v>
      </c>
      <c r="F50" t="s">
        <v>224</v>
      </c>
      <c r="G50" t="s">
        <v>208</v>
      </c>
      <c r="H50" t="s">
        <v>225</v>
      </c>
      <c r="I50">
        <v>223.8</v>
      </c>
      <c r="J50" t="s">
        <v>153</v>
      </c>
    </row>
    <row r="51" spans="1:10" x14ac:dyDescent="0.2">
      <c r="A51" t="s">
        <v>226</v>
      </c>
      <c r="B51" t="s">
        <v>15</v>
      </c>
      <c r="C51" s="1">
        <v>4.8000000000000001E-2</v>
      </c>
      <c r="D51">
        <v>8.5</v>
      </c>
      <c r="E51">
        <v>9.5</v>
      </c>
      <c r="F51" t="s">
        <v>227</v>
      </c>
      <c r="G51" t="s">
        <v>224</v>
      </c>
      <c r="H51" t="s">
        <v>225</v>
      </c>
      <c r="I51">
        <v>183.2</v>
      </c>
      <c r="J51" t="s">
        <v>157</v>
      </c>
    </row>
    <row r="52" spans="1:10" x14ac:dyDescent="0.2">
      <c r="A52" t="s">
        <v>228</v>
      </c>
      <c r="B52" t="s">
        <v>16</v>
      </c>
      <c r="C52" s="1">
        <v>7.4999999999999997E-2</v>
      </c>
      <c r="D52">
        <v>8.75</v>
      </c>
      <c r="E52">
        <v>10.25</v>
      </c>
      <c r="F52" t="s">
        <v>202</v>
      </c>
      <c r="G52" t="s">
        <v>178</v>
      </c>
      <c r="H52" t="s">
        <v>225</v>
      </c>
      <c r="I52">
        <v>217.2</v>
      </c>
      <c r="J52" t="s">
        <v>162</v>
      </c>
    </row>
    <row r="53" spans="1:10" x14ac:dyDescent="0.2">
      <c r="A53" t="s">
        <v>229</v>
      </c>
      <c r="B53" t="s">
        <v>16</v>
      </c>
      <c r="C53" s="1">
        <v>0.05</v>
      </c>
      <c r="D53">
        <v>8</v>
      </c>
      <c r="E53">
        <v>8.5</v>
      </c>
      <c r="F53" t="s">
        <v>230</v>
      </c>
      <c r="G53" t="s">
        <v>224</v>
      </c>
      <c r="H53" t="s">
        <v>231</v>
      </c>
      <c r="I53">
        <v>179.2</v>
      </c>
      <c r="J53" t="s">
        <v>129</v>
      </c>
    </row>
    <row r="54" spans="1:10" x14ac:dyDescent="0.2">
      <c r="A54" t="s">
        <v>232</v>
      </c>
      <c r="B54" t="s">
        <v>16</v>
      </c>
      <c r="C54" s="1">
        <v>6.2E-2</v>
      </c>
      <c r="D54">
        <v>8</v>
      </c>
      <c r="E54">
        <v>8.5</v>
      </c>
      <c r="F54" t="s">
        <v>178</v>
      </c>
      <c r="G54" t="s">
        <v>192</v>
      </c>
      <c r="H54" t="s">
        <v>233</v>
      </c>
      <c r="I54">
        <v>209.2</v>
      </c>
      <c r="J54" t="s">
        <v>170</v>
      </c>
    </row>
    <row r="55" spans="1:10" x14ac:dyDescent="0.2">
      <c r="A55" t="s">
        <v>234</v>
      </c>
      <c r="B55" t="s">
        <v>15</v>
      </c>
      <c r="C55" s="1">
        <v>7.8E-2</v>
      </c>
      <c r="D55">
        <v>8.5</v>
      </c>
      <c r="E55">
        <v>9.5</v>
      </c>
      <c r="F55" t="s">
        <v>235</v>
      </c>
      <c r="G55" t="s">
        <v>236</v>
      </c>
      <c r="H55" t="s">
        <v>233</v>
      </c>
      <c r="I55">
        <v>191.8</v>
      </c>
      <c r="J55" t="s">
        <v>170</v>
      </c>
    </row>
    <row r="56" spans="1:10" x14ac:dyDescent="0.2">
      <c r="A56" t="s">
        <v>305</v>
      </c>
      <c r="B56" t="s">
        <v>16</v>
      </c>
      <c r="C56" s="1">
        <v>0.12</v>
      </c>
      <c r="D56">
        <v>8.5</v>
      </c>
      <c r="E56">
        <v>9.25</v>
      </c>
      <c r="F56" t="s">
        <v>227</v>
      </c>
      <c r="G56" t="s">
        <v>222</v>
      </c>
      <c r="H56" t="s">
        <v>233</v>
      </c>
      <c r="I56">
        <v>196.4</v>
      </c>
      <c r="J56" t="s">
        <v>157</v>
      </c>
    </row>
    <row r="57" spans="1:10" x14ac:dyDescent="0.2">
      <c r="A57" t="s">
        <v>237</v>
      </c>
      <c r="B57" t="s">
        <v>15</v>
      </c>
      <c r="C57" s="1">
        <v>4.3999999999999997E-2</v>
      </c>
      <c r="D57">
        <v>8</v>
      </c>
      <c r="E57">
        <v>9.5</v>
      </c>
      <c r="F57" t="s">
        <v>213</v>
      </c>
      <c r="G57" t="s">
        <v>184</v>
      </c>
      <c r="H57" t="s">
        <v>238</v>
      </c>
      <c r="I57">
        <v>195.6</v>
      </c>
      <c r="J57" t="s">
        <v>173</v>
      </c>
    </row>
    <row r="58" spans="1:10" x14ac:dyDescent="0.2">
      <c r="A58" t="s">
        <v>239</v>
      </c>
      <c r="B58" t="s">
        <v>15</v>
      </c>
      <c r="C58" s="1">
        <v>7.3999999999999996E-2</v>
      </c>
      <c r="D58">
        <v>8</v>
      </c>
      <c r="E58">
        <v>8.75</v>
      </c>
      <c r="F58" t="s">
        <v>240</v>
      </c>
      <c r="G58" t="s">
        <v>227</v>
      </c>
      <c r="H58" t="s">
        <v>241</v>
      </c>
      <c r="I58">
        <v>171.8</v>
      </c>
      <c r="J58" t="s">
        <v>169</v>
      </c>
    </row>
    <row r="59" spans="1:10" x14ac:dyDescent="0.2">
      <c r="A59" t="s">
        <v>242</v>
      </c>
      <c r="B59" t="s">
        <v>15</v>
      </c>
      <c r="C59" s="1">
        <v>8.5999999999999993E-2</v>
      </c>
      <c r="D59">
        <v>8.25</v>
      </c>
      <c r="E59">
        <v>9</v>
      </c>
      <c r="F59" t="s">
        <v>243</v>
      </c>
      <c r="G59" t="s">
        <v>244</v>
      </c>
      <c r="H59" t="s">
        <v>245</v>
      </c>
      <c r="I59">
        <v>195.8</v>
      </c>
      <c r="J59" t="s">
        <v>177</v>
      </c>
    </row>
    <row r="60" spans="1:10" x14ac:dyDescent="0.2">
      <c r="A60" t="s">
        <v>246</v>
      </c>
      <c r="B60" t="s">
        <v>16</v>
      </c>
      <c r="C60" s="1">
        <v>3.7999999999999999E-2</v>
      </c>
      <c r="D60">
        <v>8.5</v>
      </c>
      <c r="E60">
        <v>8</v>
      </c>
      <c r="F60" t="s">
        <v>227</v>
      </c>
      <c r="G60" t="s">
        <v>222</v>
      </c>
      <c r="H60" t="s">
        <v>245</v>
      </c>
      <c r="I60">
        <v>165.2</v>
      </c>
      <c r="J60" t="s">
        <v>170</v>
      </c>
    </row>
    <row r="61" spans="1:10" x14ac:dyDescent="0.2">
      <c r="A61" t="s">
        <v>247</v>
      </c>
      <c r="B61" t="s">
        <v>15</v>
      </c>
      <c r="C61" s="1">
        <v>4.3999999999999997E-2</v>
      </c>
      <c r="D61">
        <v>8.5</v>
      </c>
      <c r="E61">
        <v>9.5</v>
      </c>
      <c r="F61" t="s">
        <v>248</v>
      </c>
      <c r="G61" t="s">
        <v>235</v>
      </c>
      <c r="H61" t="s">
        <v>249</v>
      </c>
      <c r="I61">
        <v>172.2</v>
      </c>
      <c r="J61" t="s">
        <v>169</v>
      </c>
    </row>
    <row r="62" spans="1:10" x14ac:dyDescent="0.2">
      <c r="A62" t="s">
        <v>250</v>
      </c>
      <c r="B62" t="s">
        <v>15</v>
      </c>
      <c r="C62" s="1">
        <v>5.2999999999999999E-2</v>
      </c>
      <c r="D62">
        <v>7.75</v>
      </c>
      <c r="E62">
        <v>9</v>
      </c>
      <c r="F62" t="s">
        <v>251</v>
      </c>
      <c r="G62" t="s">
        <v>243</v>
      </c>
      <c r="H62" t="s">
        <v>252</v>
      </c>
      <c r="I62">
        <v>180</v>
      </c>
      <c r="J62" t="s">
        <v>173</v>
      </c>
    </row>
    <row r="63" spans="1:10" x14ac:dyDescent="0.2">
      <c r="A63" t="s">
        <v>253</v>
      </c>
      <c r="B63" t="s">
        <v>254</v>
      </c>
      <c r="C63" t="s">
        <v>255</v>
      </c>
      <c r="D63" t="s">
        <v>31</v>
      </c>
      <c r="E63" t="s">
        <v>31</v>
      </c>
      <c r="G63"/>
      <c r="I63" t="s">
        <v>31</v>
      </c>
      <c r="J63"/>
    </row>
    <row r="64" spans="1:10" x14ac:dyDescent="0.2">
      <c r="A64" t="s">
        <v>256</v>
      </c>
      <c r="B64" t="s">
        <v>254</v>
      </c>
      <c r="C64" t="s">
        <v>255</v>
      </c>
      <c r="D64" t="s">
        <v>31</v>
      </c>
      <c r="E64" t="s">
        <v>31</v>
      </c>
      <c r="G64"/>
      <c r="I64" t="s">
        <v>31</v>
      </c>
      <c r="J64"/>
    </row>
    <row r="65" spans="1:10" x14ac:dyDescent="0.2">
      <c r="A65" t="s">
        <v>257</v>
      </c>
      <c r="B65" t="s">
        <v>258</v>
      </c>
      <c r="C65" t="s">
        <v>255</v>
      </c>
      <c r="D65" t="s">
        <v>31</v>
      </c>
      <c r="E65" t="s">
        <v>31</v>
      </c>
      <c r="G65" t="s">
        <v>285</v>
      </c>
      <c r="I65">
        <v>237</v>
      </c>
      <c r="J65"/>
    </row>
    <row r="66" spans="1:10" x14ac:dyDescent="0.2">
      <c r="A66" t="s">
        <v>259</v>
      </c>
      <c r="B66" t="s">
        <v>13</v>
      </c>
      <c r="C66" t="s">
        <v>255</v>
      </c>
      <c r="D66" t="s">
        <v>31</v>
      </c>
      <c r="E66" t="s">
        <v>31</v>
      </c>
      <c r="G66" t="s">
        <v>291</v>
      </c>
      <c r="I66">
        <v>230</v>
      </c>
      <c r="J66"/>
    </row>
    <row r="67" spans="1:10" x14ac:dyDescent="0.2">
      <c r="A67" t="s">
        <v>260</v>
      </c>
      <c r="B67" t="s">
        <v>13</v>
      </c>
      <c r="C67" t="s">
        <v>255</v>
      </c>
      <c r="D67" t="s">
        <v>31</v>
      </c>
      <c r="E67" t="s">
        <v>31</v>
      </c>
      <c r="G67" t="s">
        <v>278</v>
      </c>
      <c r="I67">
        <v>210</v>
      </c>
      <c r="J67"/>
    </row>
    <row r="68" spans="1:10" x14ac:dyDescent="0.2">
      <c r="A68" t="s">
        <v>261</v>
      </c>
      <c r="B68" t="s">
        <v>15</v>
      </c>
      <c r="C68" t="s">
        <v>255</v>
      </c>
      <c r="D68" t="s">
        <v>31</v>
      </c>
      <c r="E68" t="s">
        <v>31</v>
      </c>
      <c r="G68"/>
      <c r="I68" t="s">
        <v>31</v>
      </c>
      <c r="J68"/>
    </row>
    <row r="69" spans="1:10" x14ac:dyDescent="0.2">
      <c r="A69" t="s">
        <v>262</v>
      </c>
      <c r="B69" t="s">
        <v>51</v>
      </c>
      <c r="C69" t="s">
        <v>255</v>
      </c>
      <c r="D69" t="s">
        <v>31</v>
      </c>
      <c r="E69" t="s">
        <v>31</v>
      </c>
      <c r="G69" t="s">
        <v>289</v>
      </c>
      <c r="I69">
        <v>210</v>
      </c>
      <c r="J69" t="s">
        <v>292</v>
      </c>
    </row>
    <row r="70" spans="1:10" x14ac:dyDescent="0.2">
      <c r="A70" t="s">
        <v>263</v>
      </c>
      <c r="B70" t="s">
        <v>13</v>
      </c>
      <c r="C70" t="s">
        <v>255</v>
      </c>
      <c r="D70" t="s">
        <v>31</v>
      </c>
      <c r="E70" t="s">
        <v>31</v>
      </c>
      <c r="G70" t="s">
        <v>285</v>
      </c>
      <c r="I70">
        <v>215</v>
      </c>
      <c r="J70" t="s">
        <v>292</v>
      </c>
    </row>
    <row r="71" spans="1:10" x14ac:dyDescent="0.2">
      <c r="A71" t="s">
        <v>320</v>
      </c>
      <c r="B71" t="s">
        <v>13</v>
      </c>
      <c r="C71" t="s">
        <v>255</v>
      </c>
      <c r="D71" t="s">
        <v>31</v>
      </c>
      <c r="E71" t="s">
        <v>31</v>
      </c>
      <c r="G71" t="s">
        <v>285</v>
      </c>
      <c r="I71">
        <v>197</v>
      </c>
      <c r="J71"/>
    </row>
    <row r="72" spans="1:10" x14ac:dyDescent="0.2">
      <c r="A72" t="s">
        <v>264</v>
      </c>
      <c r="B72" t="s">
        <v>51</v>
      </c>
      <c r="C72" t="s">
        <v>255</v>
      </c>
      <c r="D72" t="s">
        <v>31</v>
      </c>
      <c r="E72" t="s">
        <v>31</v>
      </c>
      <c r="G72" t="s">
        <v>289</v>
      </c>
      <c r="I72">
        <v>216</v>
      </c>
      <c r="J72" t="s">
        <v>285</v>
      </c>
    </row>
    <row r="73" spans="1:10" x14ac:dyDescent="0.2">
      <c r="A73" t="s">
        <v>265</v>
      </c>
      <c r="B73" t="s">
        <v>258</v>
      </c>
      <c r="C73" t="s">
        <v>255</v>
      </c>
      <c r="D73" t="s">
        <v>31</v>
      </c>
      <c r="E73" t="s">
        <v>31</v>
      </c>
      <c r="G73" t="s">
        <v>327</v>
      </c>
      <c r="I73">
        <v>276</v>
      </c>
      <c r="J73"/>
    </row>
    <row r="74" spans="1:10" x14ac:dyDescent="0.2">
      <c r="A74" t="s">
        <v>266</v>
      </c>
      <c r="B74" t="s">
        <v>13</v>
      </c>
      <c r="C74" t="s">
        <v>255</v>
      </c>
      <c r="D74" t="s">
        <v>31</v>
      </c>
      <c r="E74" t="s">
        <v>31</v>
      </c>
      <c r="G74" t="s">
        <v>292</v>
      </c>
      <c r="I74">
        <v>227</v>
      </c>
      <c r="J74"/>
    </row>
    <row r="75" spans="1:10" x14ac:dyDescent="0.2">
      <c r="A75" t="s">
        <v>267</v>
      </c>
      <c r="B75" t="s">
        <v>12</v>
      </c>
      <c r="C75" t="s">
        <v>255</v>
      </c>
      <c r="D75" t="s">
        <v>31</v>
      </c>
      <c r="E75" t="s">
        <v>31</v>
      </c>
      <c r="G75"/>
      <c r="I75" t="s">
        <v>31</v>
      </c>
      <c r="J75"/>
    </row>
    <row r="76" spans="1:10" x14ac:dyDescent="0.2">
      <c r="A76" t="s">
        <v>268</v>
      </c>
      <c r="B76" t="s">
        <v>15</v>
      </c>
      <c r="C76" t="s">
        <v>255</v>
      </c>
      <c r="D76" t="s">
        <v>31</v>
      </c>
      <c r="E76" t="s">
        <v>31</v>
      </c>
      <c r="G76" t="s">
        <v>284</v>
      </c>
      <c r="I76">
        <v>195</v>
      </c>
      <c r="J76"/>
    </row>
    <row r="77" spans="1:10" x14ac:dyDescent="0.2">
      <c r="A77" t="s">
        <v>269</v>
      </c>
      <c r="B77" t="s">
        <v>13</v>
      </c>
      <c r="C77" t="s">
        <v>255</v>
      </c>
      <c r="D77" t="s">
        <v>31</v>
      </c>
      <c r="E77" t="s">
        <v>31</v>
      </c>
      <c r="G77" t="s">
        <v>281</v>
      </c>
      <c r="I77">
        <v>195</v>
      </c>
      <c r="J77" t="s">
        <v>384</v>
      </c>
    </row>
    <row r="78" spans="1:10" x14ac:dyDescent="0.2">
      <c r="A78" t="s">
        <v>270</v>
      </c>
      <c r="B78" t="s">
        <v>16</v>
      </c>
      <c r="C78" t="s">
        <v>255</v>
      </c>
      <c r="D78" t="s">
        <v>31</v>
      </c>
      <c r="E78" t="s">
        <v>31</v>
      </c>
      <c r="G78" t="s">
        <v>284</v>
      </c>
      <c r="I78">
        <v>190</v>
      </c>
      <c r="J78" t="s">
        <v>285</v>
      </c>
    </row>
    <row r="79" spans="1:10" x14ac:dyDescent="0.2">
      <c r="A79" t="s">
        <v>271</v>
      </c>
      <c r="B79" t="s">
        <v>14</v>
      </c>
      <c r="C79" t="s">
        <v>255</v>
      </c>
      <c r="D79" t="s">
        <v>31</v>
      </c>
      <c r="E79" t="s">
        <v>31</v>
      </c>
      <c r="G79" t="s">
        <v>289</v>
      </c>
      <c r="I79">
        <v>222</v>
      </c>
      <c r="J79" t="s">
        <v>292</v>
      </c>
    </row>
    <row r="80" spans="1:10" x14ac:dyDescent="0.2">
      <c r="A80" t="s">
        <v>272</v>
      </c>
      <c r="B80" t="s">
        <v>12</v>
      </c>
      <c r="C80" t="s">
        <v>255</v>
      </c>
      <c r="D80" t="s">
        <v>31</v>
      </c>
      <c r="E80" t="s">
        <v>31</v>
      </c>
      <c r="G80" t="s">
        <v>278</v>
      </c>
      <c r="I80">
        <v>230</v>
      </c>
      <c r="J80" t="s">
        <v>384</v>
      </c>
    </row>
    <row r="81" spans="1:10" x14ac:dyDescent="0.2">
      <c r="A81" t="s">
        <v>273</v>
      </c>
      <c r="B81" t="s">
        <v>12</v>
      </c>
      <c r="C81" t="s">
        <v>255</v>
      </c>
      <c r="D81" t="s">
        <v>31</v>
      </c>
      <c r="E81" t="s">
        <v>31</v>
      </c>
      <c r="G81" t="s">
        <v>293</v>
      </c>
      <c r="I81">
        <v>240</v>
      </c>
      <c r="J81"/>
    </row>
    <row r="82" spans="1:10" x14ac:dyDescent="0.2">
      <c r="A82" t="s">
        <v>274</v>
      </c>
      <c r="B82" t="s">
        <v>14</v>
      </c>
      <c r="C82" t="s">
        <v>255</v>
      </c>
      <c r="D82" t="s">
        <v>31</v>
      </c>
      <c r="E82" t="s">
        <v>31</v>
      </c>
      <c r="G82" t="s">
        <v>278</v>
      </c>
      <c r="I82">
        <v>200</v>
      </c>
      <c r="J82"/>
    </row>
    <row r="83" spans="1:10" x14ac:dyDescent="0.2">
      <c r="A83" t="s">
        <v>275</v>
      </c>
      <c r="B83" t="s">
        <v>254</v>
      </c>
      <c r="C83" t="s">
        <v>255</v>
      </c>
      <c r="D83" t="s">
        <v>31</v>
      </c>
      <c r="E83" t="s">
        <v>31</v>
      </c>
      <c r="G83"/>
      <c r="I83" t="s">
        <v>31</v>
      </c>
      <c r="J83" t="s">
        <v>292</v>
      </c>
    </row>
    <row r="84" spans="1:10" x14ac:dyDescent="0.2">
      <c r="A84" t="s">
        <v>276</v>
      </c>
      <c r="B84" t="s">
        <v>13</v>
      </c>
      <c r="C84" t="s">
        <v>255</v>
      </c>
      <c r="D84" t="s">
        <v>31</v>
      </c>
      <c r="E84" t="s">
        <v>31</v>
      </c>
      <c r="G84" t="s">
        <v>278</v>
      </c>
      <c r="I84">
        <v>250</v>
      </c>
      <c r="J84" t="s">
        <v>293</v>
      </c>
    </row>
    <row r="85" spans="1:10" x14ac:dyDescent="0.2">
      <c r="A85" t="s">
        <v>330</v>
      </c>
      <c r="B85" t="s">
        <v>331</v>
      </c>
      <c r="C85" t="s">
        <v>255</v>
      </c>
      <c r="D85" t="s">
        <v>31</v>
      </c>
      <c r="E85" t="s">
        <v>31</v>
      </c>
      <c r="G85" t="s">
        <v>284</v>
      </c>
      <c r="I85">
        <v>185</v>
      </c>
      <c r="J85"/>
    </row>
    <row r="86" spans="1:10" x14ac:dyDescent="0.2">
      <c r="A86" t="s">
        <v>336</v>
      </c>
      <c r="B86" t="s">
        <v>14</v>
      </c>
      <c r="C86" t="s">
        <v>255</v>
      </c>
      <c r="D86" t="s">
        <v>31</v>
      </c>
      <c r="E86" t="s">
        <v>31</v>
      </c>
      <c r="G86" t="s">
        <v>285</v>
      </c>
      <c r="I86">
        <v>205</v>
      </c>
      <c r="J86"/>
    </row>
    <row r="87" spans="1:10" x14ac:dyDescent="0.2">
      <c r="A87" t="s">
        <v>338</v>
      </c>
      <c r="B87" t="s">
        <v>14</v>
      </c>
      <c r="C87" t="s">
        <v>255</v>
      </c>
      <c r="D87" t="s">
        <v>31</v>
      </c>
      <c r="E87" t="s">
        <v>31</v>
      </c>
      <c r="G87" t="s">
        <v>327</v>
      </c>
      <c r="I87">
        <v>208</v>
      </c>
      <c r="J87"/>
    </row>
    <row r="88" spans="1:10" x14ac:dyDescent="0.2">
      <c r="A88" t="s">
        <v>342</v>
      </c>
      <c r="B88" t="s">
        <v>15</v>
      </c>
      <c r="C88" t="s">
        <v>255</v>
      </c>
      <c r="D88" t="s">
        <v>31</v>
      </c>
      <c r="E88" t="s">
        <v>31</v>
      </c>
      <c r="G88" t="s">
        <v>327</v>
      </c>
      <c r="I88">
        <v>208</v>
      </c>
      <c r="J88"/>
    </row>
    <row r="89" spans="1:10" x14ac:dyDescent="0.2">
      <c r="A89" t="s">
        <v>345</v>
      </c>
      <c r="B89" t="s">
        <v>12</v>
      </c>
      <c r="C89" t="s">
        <v>255</v>
      </c>
      <c r="D89" t="s">
        <v>31</v>
      </c>
      <c r="E89" t="s">
        <v>31</v>
      </c>
      <c r="G89" t="s">
        <v>278</v>
      </c>
      <c r="I89">
        <v>240</v>
      </c>
      <c r="J89"/>
    </row>
    <row r="90" spans="1:10" x14ac:dyDescent="0.2">
      <c r="A90" t="s">
        <v>348</v>
      </c>
      <c r="B90" t="s">
        <v>16</v>
      </c>
      <c r="C90" t="s">
        <v>255</v>
      </c>
      <c r="D90" t="s">
        <v>31</v>
      </c>
      <c r="E90" t="s">
        <v>31</v>
      </c>
      <c r="G90" t="s">
        <v>352</v>
      </c>
      <c r="I90">
        <v>175</v>
      </c>
      <c r="J90"/>
    </row>
    <row r="91" spans="1:10" x14ac:dyDescent="0.2">
      <c r="A91" t="s">
        <v>351</v>
      </c>
      <c r="B91" t="s">
        <v>14</v>
      </c>
      <c r="C91" t="s">
        <v>255</v>
      </c>
      <c r="D91" t="s">
        <v>31</v>
      </c>
      <c r="E91" t="s">
        <v>31</v>
      </c>
      <c r="G91" t="s">
        <v>327</v>
      </c>
      <c r="I91">
        <v>210</v>
      </c>
      <c r="J91"/>
    </row>
    <row r="92" spans="1:10" x14ac:dyDescent="0.2">
      <c r="A92" t="s">
        <v>353</v>
      </c>
      <c r="B92" t="s">
        <v>14</v>
      </c>
      <c r="C92" t="s">
        <v>255</v>
      </c>
      <c r="D92" t="s">
        <v>31</v>
      </c>
      <c r="E92" t="s">
        <v>31</v>
      </c>
      <c r="G92" t="s">
        <v>327</v>
      </c>
      <c r="I92">
        <v>215</v>
      </c>
      <c r="J92"/>
    </row>
    <row r="93" spans="1:10" x14ac:dyDescent="0.2">
      <c r="A93" t="s">
        <v>355</v>
      </c>
      <c r="C93" t="s">
        <v>255</v>
      </c>
      <c r="D93" t="s">
        <v>31</v>
      </c>
      <c r="E93" t="s">
        <v>31</v>
      </c>
      <c r="G93" t="s">
        <v>360</v>
      </c>
      <c r="I93">
        <v>190</v>
      </c>
      <c r="J93"/>
    </row>
    <row r="94" spans="1:10" x14ac:dyDescent="0.2">
      <c r="A94" t="s">
        <v>364</v>
      </c>
      <c r="C94" t="s">
        <v>255</v>
      </c>
      <c r="D94" t="s">
        <v>31</v>
      </c>
      <c r="E94" t="s">
        <v>31</v>
      </c>
      <c r="G94" t="s">
        <v>327</v>
      </c>
      <c r="I94">
        <v>210</v>
      </c>
      <c r="J94"/>
    </row>
    <row r="95" spans="1:10" x14ac:dyDescent="0.2">
      <c r="A95" t="s">
        <v>369</v>
      </c>
      <c r="C95" t="s">
        <v>255</v>
      </c>
      <c r="D95" t="s">
        <v>31</v>
      </c>
      <c r="E95" t="s">
        <v>31</v>
      </c>
      <c r="G95" t="s">
        <v>352</v>
      </c>
      <c r="I95">
        <v>190</v>
      </c>
      <c r="J95"/>
    </row>
  </sheetData>
  <autoFilter ref="A1:J1" xr:uid="{10FBC811-F9AD-484B-9EE6-99098365B17C}"/>
  <sortState ref="A2:J77">
    <sortCondition ref="A2:A77"/>
  </sortState>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E47C-51B0-A742-8364-F63AA51E72DA}">
  <dimension ref="A1:J61"/>
  <sheetViews>
    <sheetView tabSelected="1" zoomScaleNormal="100" workbookViewId="0">
      <pane ySplit="1" topLeftCell="A2" activePane="bottomLeft" state="frozen"/>
      <selection pane="bottomLeft" sqref="A1:XFD1048576"/>
    </sheetView>
  </sheetViews>
  <sheetFormatPr baseColWidth="10" defaultRowHeight="16" x14ac:dyDescent="0.2"/>
  <cols>
    <col min="1" max="1" width="6.83203125" bestFit="1" customWidth="1"/>
    <col min="2" max="2" width="17" bestFit="1" customWidth="1"/>
    <col min="3" max="3" width="8.33203125" bestFit="1" customWidth="1"/>
    <col min="4" max="4" width="6.5" style="2" bestFit="1" customWidth="1"/>
    <col min="5" max="5" width="8.5" style="2" bestFit="1" customWidth="1"/>
    <col min="6" max="6" width="6.83203125" style="2" bestFit="1" customWidth="1"/>
    <col min="7" max="7" width="8.33203125" style="2" bestFit="1" customWidth="1"/>
    <col min="8" max="8" width="10.83203125" style="11"/>
  </cols>
  <sheetData>
    <row r="1" spans="1:10" x14ac:dyDescent="0.2">
      <c r="A1" t="s">
        <v>40</v>
      </c>
      <c r="B1" t="s">
        <v>41</v>
      </c>
      <c r="C1" t="s">
        <v>42</v>
      </c>
      <c r="D1" s="2" t="s">
        <v>45</v>
      </c>
      <c r="E1" s="2" t="s">
        <v>43</v>
      </c>
      <c r="F1" s="2" t="s">
        <v>44</v>
      </c>
      <c r="G1" s="2" t="s">
        <v>509</v>
      </c>
      <c r="H1" s="11" t="s">
        <v>48</v>
      </c>
      <c r="I1">
        <v>2</v>
      </c>
      <c r="J1">
        <v>2</v>
      </c>
    </row>
    <row r="2" spans="1:10" x14ac:dyDescent="0.2">
      <c r="A2">
        <v>1</v>
      </c>
      <c r="B2" t="s">
        <v>276</v>
      </c>
      <c r="C2" t="s">
        <v>91</v>
      </c>
      <c r="D2" s="2" t="str">
        <f>IF(OR(E2="HM", E2="-"),"", IFERROR(VLOOKUP($B2,board!$A:$S,2,FALSE), ""))</f>
        <v>PF</v>
      </c>
      <c r="E2" s="2">
        <f>IFERROR(VLOOKUP($B2,board!$A:$S,18,FALSE), "")</f>
        <v>1</v>
      </c>
      <c r="F2" s="2">
        <f>IFERROR(VLOOKUP($B2,board!$A:$S,19,FALSE), "")</f>
        <v>1</v>
      </c>
      <c r="G2" s="2">
        <f t="shared" ref="G2:G33" si="0">IFERROR(A2-E2, "")</f>
        <v>0</v>
      </c>
      <c r="H2" s="11">
        <f>IFERROR((G2*$J$1)/(A2*$I$1), "")</f>
        <v>0</v>
      </c>
    </row>
    <row r="3" spans="1:10" x14ac:dyDescent="0.2">
      <c r="A3">
        <v>2</v>
      </c>
      <c r="B3" t="s">
        <v>269</v>
      </c>
      <c r="C3" t="s">
        <v>92</v>
      </c>
      <c r="D3" s="2" t="str">
        <f>IF(OR(E3="HM", E3="-"),"", IFERROR(VLOOKUP($B3,board!$A:$S,2,FALSE), ""))</f>
        <v>PF</v>
      </c>
      <c r="E3" s="2">
        <f>IFERROR(VLOOKUP($B3,board!$A:$S,18,FALSE), "")</f>
        <v>3</v>
      </c>
      <c r="F3" s="2">
        <f>IFERROR(VLOOKUP($B3,board!$A:$S,19,FALSE), "")</f>
        <v>1</v>
      </c>
      <c r="G3" s="2">
        <f t="shared" si="0"/>
        <v>-1</v>
      </c>
      <c r="H3" s="11">
        <f>IFERROR((G3*$J$1)/(A3*$I$1), "")</f>
        <v>-0.5</v>
      </c>
    </row>
    <row r="4" spans="1:10" x14ac:dyDescent="0.2">
      <c r="A4">
        <v>3</v>
      </c>
      <c r="B4" t="s">
        <v>260</v>
      </c>
      <c r="C4" t="s">
        <v>88</v>
      </c>
      <c r="D4" s="2" t="str">
        <f>IF(OR(E4="HM", E4="-"),"", IFERROR(VLOOKUP($B4,board!$A:$S,2,FALSE), ""))</f>
        <v>PF</v>
      </c>
      <c r="E4" s="2">
        <f>IFERROR(VLOOKUP($B4,board!$A:$S,18,FALSE), "")</f>
        <v>2</v>
      </c>
      <c r="F4" s="2">
        <f>IFERROR(VLOOKUP($B4,board!$A:$S,19,FALSE), "")</f>
        <v>1</v>
      </c>
      <c r="G4" s="2">
        <f t="shared" si="0"/>
        <v>1</v>
      </c>
      <c r="H4" s="11">
        <f>IFERROR((G4+$J$1)/(A4*$I$1), "")</f>
        <v>0.5</v>
      </c>
    </row>
    <row r="5" spans="1:10" x14ac:dyDescent="0.2">
      <c r="A5">
        <v>4</v>
      </c>
      <c r="B5" t="s">
        <v>263</v>
      </c>
      <c r="C5" t="s">
        <v>94</v>
      </c>
      <c r="D5" s="2" t="str">
        <f>IF(OR(E5="HM", E5="-"),"", IFERROR(VLOOKUP($B5,board!$A:$S,2,FALSE), ""))</f>
        <v>PF</v>
      </c>
      <c r="E5" s="2">
        <f>IFERROR(VLOOKUP($B5,board!$A:$S,18,FALSE), "")</f>
        <v>8</v>
      </c>
      <c r="F5" s="2">
        <f>IFERROR(VLOOKUP($B5,board!$A:$S,19,FALSE), "")</f>
        <v>2</v>
      </c>
      <c r="G5" s="2">
        <f t="shared" si="0"/>
        <v>-4</v>
      </c>
      <c r="H5" s="11">
        <f>IFERROR((G5+$J$1)/(A5*$I$1), "")</f>
        <v>-0.25</v>
      </c>
    </row>
    <row r="6" spans="1:10" x14ac:dyDescent="0.2">
      <c r="A6">
        <v>5</v>
      </c>
      <c r="B6" t="s">
        <v>268</v>
      </c>
      <c r="C6" t="s">
        <v>87</v>
      </c>
      <c r="D6" s="2" t="str">
        <f>IF(OR(E6="HM", E6="-"),"", IFERROR(VLOOKUP($B6,board!$A:$S,2,FALSE), ""))</f>
        <v>PG</v>
      </c>
      <c r="E6" s="2">
        <f>IFERROR(VLOOKUP($B6,board!$A:$S,18,FALSE), "")</f>
        <v>7</v>
      </c>
      <c r="F6" s="2">
        <f>IFERROR(VLOOKUP($B6,board!$A:$S,19,FALSE), "")</f>
        <v>2</v>
      </c>
      <c r="G6" s="2">
        <f t="shared" si="0"/>
        <v>-2</v>
      </c>
      <c r="H6" s="11">
        <f>IFERROR((G6+$J$1)/(A6*$I$1), "")</f>
        <v>0</v>
      </c>
    </row>
    <row r="7" spans="1:10" x14ac:dyDescent="0.2">
      <c r="A7">
        <v>6</v>
      </c>
      <c r="B7" t="s">
        <v>196</v>
      </c>
      <c r="C7" t="s">
        <v>98</v>
      </c>
      <c r="D7" s="2" t="str">
        <f>IF(OR(E7="HM", E7="-"),"", IFERROR(VLOOKUP($B7,board!$A:$S,2,FALSE), ""))</f>
        <v>SG</v>
      </c>
      <c r="E7" s="2">
        <f>IFERROR(VLOOKUP($B7,board!$A:$S,18,FALSE), "")</f>
        <v>6</v>
      </c>
      <c r="F7" s="2">
        <f>IFERROR(VLOOKUP($B7,board!$A:$S,19,FALSE), "")</f>
        <v>2</v>
      </c>
      <c r="G7" s="2">
        <f t="shared" si="0"/>
        <v>0</v>
      </c>
      <c r="H7" s="11">
        <f>IFERROR((G7*$J$1)/(A7*$I$1), "")</f>
        <v>0</v>
      </c>
    </row>
    <row r="8" spans="1:10" x14ac:dyDescent="0.2">
      <c r="A8">
        <v>7</v>
      </c>
      <c r="B8" t="s">
        <v>209</v>
      </c>
      <c r="C8" t="s">
        <v>106</v>
      </c>
      <c r="D8" s="2" t="str">
        <f>IF(OR(E8="HM", E8="-"),"", IFERROR(VLOOKUP($B8,board!$A:$S,2,FALSE), ""))</f>
        <v>SG</v>
      </c>
      <c r="E8" s="2">
        <f>IFERROR(VLOOKUP($B8,board!$A:$S,18,FALSE), "")</f>
        <v>11</v>
      </c>
      <c r="F8" s="2">
        <f>IFERROR(VLOOKUP($B8,board!$A:$S,19,FALSE), "")</f>
        <v>2</v>
      </c>
      <c r="G8" s="2">
        <f t="shared" si="0"/>
        <v>-4</v>
      </c>
      <c r="H8" s="11">
        <f>IFERROR((G8*$J$1)/(A8*$I$1), "")</f>
        <v>-0.5714285714285714</v>
      </c>
    </row>
    <row r="9" spans="1:10" x14ac:dyDescent="0.2">
      <c r="A9">
        <v>8</v>
      </c>
      <c r="B9" t="s">
        <v>185</v>
      </c>
      <c r="C9" t="s">
        <v>104</v>
      </c>
      <c r="D9" s="2" t="str">
        <f>IF(OR(E9="HM", E9="-"),"", IFERROR(VLOOKUP($B9,board!$A:$S,2,FALSE), ""))</f>
        <v>SG</v>
      </c>
      <c r="E9" s="2">
        <f>IFERROR(VLOOKUP($B9,board!$A:$S,18,FALSE), "")</f>
        <v>4</v>
      </c>
      <c r="F9" s="2">
        <f>IFERROR(VLOOKUP($B9,board!$A:$S,19,FALSE), "")</f>
        <v>2</v>
      </c>
      <c r="G9" s="2">
        <f t="shared" si="0"/>
        <v>4</v>
      </c>
      <c r="H9" s="11">
        <f>IFERROR((G9*$J$1)/(A9*$I$1), "")</f>
        <v>0.5</v>
      </c>
    </row>
    <row r="10" spans="1:10" x14ac:dyDescent="0.2">
      <c r="A10">
        <v>9</v>
      </c>
      <c r="B10" t="s">
        <v>259</v>
      </c>
      <c r="C10" t="s">
        <v>97</v>
      </c>
      <c r="D10" s="2" t="str">
        <f>IF(OR(E10="HM", E10="-"),"", IFERROR(VLOOKUP($B10,board!$A:$S,2,FALSE), ""))</f>
        <v>PF</v>
      </c>
      <c r="E10" s="2">
        <f>IFERROR(VLOOKUP($B10,board!$A:$S,18,FALSE), "")</f>
        <v>5</v>
      </c>
      <c r="F10" s="2">
        <f>IFERROR(VLOOKUP($B10,board!$A:$S,19,FALSE), "")</f>
        <v>2</v>
      </c>
      <c r="G10" s="2">
        <f t="shared" si="0"/>
        <v>4</v>
      </c>
      <c r="H10" s="11">
        <f>IFERROR((G10*$J$1)/(A10*$I$1), "")</f>
        <v>0.44444444444444442</v>
      </c>
    </row>
    <row r="11" spans="1:10" x14ac:dyDescent="0.2">
      <c r="A11">
        <v>10</v>
      </c>
      <c r="B11" t="s">
        <v>201</v>
      </c>
      <c r="C11" t="s">
        <v>99</v>
      </c>
      <c r="D11" s="2" t="str">
        <f>IF(OR(E11="HM", E11="-"),"", IFERROR(VLOOKUP($B11,board!$A:$S,2,FALSE), ""))</f>
        <v>PG</v>
      </c>
      <c r="E11" s="2">
        <f>IFERROR(VLOOKUP($B11,board!$A:$S,18,FALSE), "")</f>
        <v>33</v>
      </c>
      <c r="F11" s="2">
        <f>IFERROR(VLOOKUP($B11,board!$A:$S,19,FALSE), "")</f>
        <v>5</v>
      </c>
      <c r="G11" s="2">
        <f t="shared" si="0"/>
        <v>-23</v>
      </c>
      <c r="H11" s="11">
        <f t="shared" ref="H11:H61" si="1">IFERROR((G11*$J$1)/(A11*$I$1), "")</f>
        <v>-2.2999999999999998</v>
      </c>
    </row>
    <row r="12" spans="1:10" x14ac:dyDescent="0.2">
      <c r="A12">
        <v>11</v>
      </c>
      <c r="B12" t="s">
        <v>274</v>
      </c>
      <c r="C12" t="s">
        <v>92</v>
      </c>
      <c r="D12" s="2" t="str">
        <f>IF(OR(E12="HM", E12="-"),"", IFERROR(VLOOKUP($B12,board!$A:$S,2,FALSE), ""))</f>
        <v>SF</v>
      </c>
      <c r="E12" s="2">
        <f>IFERROR(VLOOKUP($B12,board!$A:$S,18,FALSE), "")</f>
        <v>32</v>
      </c>
      <c r="F12" s="2">
        <f>IFERROR(VLOOKUP($B12,board!$A:$S,19,FALSE), "")</f>
        <v>5</v>
      </c>
      <c r="G12" s="2">
        <f t="shared" si="0"/>
        <v>-21</v>
      </c>
      <c r="H12" s="11">
        <f t="shared" si="1"/>
        <v>-1.9090909090909092</v>
      </c>
    </row>
    <row r="13" spans="1:10" x14ac:dyDescent="0.2">
      <c r="A13">
        <v>12</v>
      </c>
      <c r="B13" t="s">
        <v>183</v>
      </c>
      <c r="C13" t="s">
        <v>92</v>
      </c>
      <c r="D13" s="2" t="str">
        <f>IF(OR(E13="HM", E13="-"),"", IFERROR(VLOOKUP($B13,board!$A:$S,2,FALSE), ""))</f>
        <v>SG</v>
      </c>
      <c r="E13" s="2">
        <f>IFERROR(VLOOKUP($B13,board!$A:$S,18,FALSE), "")</f>
        <v>22</v>
      </c>
      <c r="F13" s="2">
        <f>IFERROR(VLOOKUP($B13,board!$A:$S,19,FALSE), "")</f>
        <v>4</v>
      </c>
      <c r="G13" s="2">
        <f t="shared" si="0"/>
        <v>-10</v>
      </c>
      <c r="H13" s="11">
        <f t="shared" si="1"/>
        <v>-0.83333333333333337</v>
      </c>
    </row>
    <row r="14" spans="1:10" x14ac:dyDescent="0.2">
      <c r="A14">
        <v>13</v>
      </c>
      <c r="B14" t="s">
        <v>272</v>
      </c>
      <c r="C14" t="s">
        <v>87</v>
      </c>
      <c r="D14" s="2" t="str">
        <f>IF(OR(E14="HM", E14="-"),"", IFERROR(VLOOKUP($B14,board!$A:$S,2,FALSE), ""))</f>
        <v>C</v>
      </c>
      <c r="E14" s="2">
        <f>IFERROR(VLOOKUP($B14,board!$A:$S,18,FALSE), "")</f>
        <v>12</v>
      </c>
      <c r="F14" s="2">
        <f>IFERROR(VLOOKUP($B14,board!$A:$S,19,FALSE), "")</f>
        <v>3</v>
      </c>
      <c r="G14" s="2">
        <f t="shared" si="0"/>
        <v>1</v>
      </c>
      <c r="H14" s="11">
        <f t="shared" si="1"/>
        <v>7.6923076923076927E-2</v>
      </c>
    </row>
    <row r="15" spans="1:10" x14ac:dyDescent="0.2">
      <c r="A15">
        <v>14</v>
      </c>
      <c r="B15" t="s">
        <v>52</v>
      </c>
      <c r="C15" t="s">
        <v>89</v>
      </c>
      <c r="D15" s="2" t="str">
        <f>IF(OR(E15="HM", E15="-"),"", IFERROR(VLOOKUP($B15,board!$A:$S,2,FALSE), ""))</f>
        <v>SG</v>
      </c>
      <c r="E15" s="2">
        <f>IFERROR(VLOOKUP($B15,board!$A:$S,18,FALSE), "")</f>
        <v>39</v>
      </c>
      <c r="F15" s="2">
        <f>IFERROR(VLOOKUP($B15,board!$A:$S,19,FALSE), "")</f>
        <v>5</v>
      </c>
      <c r="G15" s="2">
        <f t="shared" si="0"/>
        <v>-25</v>
      </c>
      <c r="H15" s="11">
        <f t="shared" si="1"/>
        <v>-1.7857142857142858</v>
      </c>
    </row>
    <row r="16" spans="1:10" x14ac:dyDescent="0.2">
      <c r="A16">
        <v>15</v>
      </c>
      <c r="B16" t="s">
        <v>110</v>
      </c>
      <c r="C16" t="s">
        <v>96</v>
      </c>
      <c r="D16" s="2" t="str">
        <f>IF(OR(E16="HM", E16="-"),"", IFERROR(VLOOKUP($B16,board!$A:$S,2,FALSE), ""))</f>
        <v>C</v>
      </c>
      <c r="E16" s="2">
        <f>IFERROR(VLOOKUP($B16,board!$A:$S,18,FALSE), "")</f>
        <v>15</v>
      </c>
      <c r="F16" s="2">
        <f>IFERROR(VLOOKUP($B16,board!$A:$S,19,FALSE), "")</f>
        <v>3</v>
      </c>
      <c r="G16" s="2">
        <f t="shared" si="0"/>
        <v>0</v>
      </c>
      <c r="H16" s="11">
        <f t="shared" si="1"/>
        <v>0</v>
      </c>
    </row>
    <row r="17" spans="1:8" x14ac:dyDescent="0.2">
      <c r="A17">
        <v>16</v>
      </c>
      <c r="B17" t="s">
        <v>271</v>
      </c>
      <c r="C17" t="s">
        <v>100</v>
      </c>
      <c r="D17" s="2" t="str">
        <f>IF(OR(E17="HM", E17="-"),"", IFERROR(VLOOKUP($B17,board!$A:$S,2,FALSE), ""))</f>
        <v>SF</v>
      </c>
      <c r="E17" s="2">
        <f>IFERROR(VLOOKUP($B17,board!$A:$S,18,FALSE), "")</f>
        <v>10</v>
      </c>
      <c r="F17" s="2">
        <f>IFERROR(VLOOKUP($B17,board!$A:$S,19,FALSE), "")</f>
        <v>2</v>
      </c>
      <c r="G17" s="2">
        <f t="shared" si="0"/>
        <v>6</v>
      </c>
      <c r="H17" s="11">
        <f t="shared" si="1"/>
        <v>0.375</v>
      </c>
    </row>
    <row r="18" spans="1:8" x14ac:dyDescent="0.2">
      <c r="A18">
        <v>17</v>
      </c>
      <c r="B18" t="s">
        <v>155</v>
      </c>
      <c r="C18" t="s">
        <v>88</v>
      </c>
      <c r="D18" s="2" t="str">
        <f>IF(OR(E18="HM", E18="-"),"", IFERROR(VLOOKUP($B18,board!$A:$S,2,FALSE), ""))</f>
        <v>PF</v>
      </c>
      <c r="E18" s="2">
        <f>IFERROR(VLOOKUP($B18,board!$A:$S,18,FALSE), "")</f>
        <v>9</v>
      </c>
      <c r="F18" s="2">
        <f>IFERROR(VLOOKUP($B18,board!$A:$S,19,FALSE), "")</f>
        <v>2</v>
      </c>
      <c r="G18" s="2">
        <f t="shared" si="0"/>
        <v>8</v>
      </c>
      <c r="H18" s="11">
        <f t="shared" si="1"/>
        <v>0.47058823529411764</v>
      </c>
    </row>
    <row r="19" spans="1:8" x14ac:dyDescent="0.2">
      <c r="A19">
        <v>18</v>
      </c>
      <c r="B19" t="s">
        <v>174</v>
      </c>
      <c r="C19" t="s">
        <v>105</v>
      </c>
      <c r="D19" s="2" t="str">
        <f>IF(OR(E19="HM", E19="-"),"", IFERROR(VLOOKUP($B19,board!$A:$S,2,FALSE), ""))</f>
        <v>SG</v>
      </c>
      <c r="E19" s="2">
        <f>IFERROR(VLOOKUP($B19,board!$A:$S,18,FALSE), "")</f>
        <v>13</v>
      </c>
      <c r="F19" s="2">
        <f>IFERROR(VLOOKUP($B19,board!$A:$S,19,FALSE), "")</f>
        <v>3</v>
      </c>
      <c r="G19" s="2">
        <f t="shared" si="0"/>
        <v>5</v>
      </c>
      <c r="H19" s="11">
        <f t="shared" si="1"/>
        <v>0.27777777777777779</v>
      </c>
    </row>
    <row r="20" spans="1:8" x14ac:dyDescent="0.2">
      <c r="A20">
        <v>19</v>
      </c>
      <c r="B20" t="s">
        <v>195</v>
      </c>
      <c r="C20" t="s">
        <v>95</v>
      </c>
      <c r="D20" s="2" t="str">
        <f>IF(OR(E20="HM", E20="-"),"", IFERROR(VLOOKUP($B20,board!$A:$S,2,FALSE), ""))</f>
        <v>PF</v>
      </c>
      <c r="E20" s="2">
        <f>IFERROR(VLOOKUP($B20,board!$A:$S,18,FALSE), "")</f>
        <v>16</v>
      </c>
      <c r="F20" s="2">
        <f>IFERROR(VLOOKUP($B20,board!$A:$S,19,FALSE), "")</f>
        <v>3</v>
      </c>
      <c r="G20" s="2">
        <f t="shared" si="0"/>
        <v>3</v>
      </c>
      <c r="H20" s="11">
        <f t="shared" si="1"/>
        <v>0.15789473684210525</v>
      </c>
    </row>
    <row r="21" spans="1:8" x14ac:dyDescent="0.2">
      <c r="A21">
        <v>20</v>
      </c>
      <c r="B21" t="s">
        <v>214</v>
      </c>
      <c r="C21" t="s">
        <v>97</v>
      </c>
      <c r="D21" s="2" t="str">
        <f>IF(OR(E21="HM", E21="-"),"", IFERROR(VLOOKUP($B21,board!$A:$S,2,FALSE), ""))</f>
        <v>SG</v>
      </c>
      <c r="E21" s="2">
        <f>IFERROR(VLOOKUP($B21,board!$A:$S,18,FALSE), "")</f>
        <v>29</v>
      </c>
      <c r="F21" s="2">
        <f>IFERROR(VLOOKUP($B21,board!$A:$S,19,FALSE), "")</f>
        <v>4</v>
      </c>
      <c r="G21" s="2">
        <f t="shared" si="0"/>
        <v>-9</v>
      </c>
      <c r="H21" s="11">
        <f t="shared" si="1"/>
        <v>-0.45</v>
      </c>
    </row>
    <row r="22" spans="1:8" x14ac:dyDescent="0.2">
      <c r="A22">
        <v>21</v>
      </c>
      <c r="B22" t="s">
        <v>232</v>
      </c>
      <c r="C22" t="s">
        <v>103</v>
      </c>
      <c r="D22" s="2" t="str">
        <f>IF(OR(E22="HM", E22="-"),"", IFERROR(VLOOKUP($B22,board!$A:$S,2,FALSE), ""))</f>
        <v>SG</v>
      </c>
      <c r="E22" s="2">
        <f>IFERROR(VLOOKUP($B22,board!$A:$S,18,FALSE), "")</f>
        <v>30</v>
      </c>
      <c r="F22" s="2">
        <f>IFERROR(VLOOKUP($B22,board!$A:$S,19,FALSE), "")</f>
        <v>4</v>
      </c>
      <c r="G22" s="2">
        <f t="shared" si="0"/>
        <v>-9</v>
      </c>
      <c r="H22" s="11">
        <f t="shared" si="1"/>
        <v>-0.42857142857142855</v>
      </c>
    </row>
    <row r="23" spans="1:8" x14ac:dyDescent="0.2">
      <c r="A23">
        <v>22</v>
      </c>
      <c r="B23" t="s">
        <v>115</v>
      </c>
      <c r="C23" t="s">
        <v>504</v>
      </c>
      <c r="D23" s="2" t="str">
        <f>IF(OR(E23="HM", E23="-"),"", IFERROR(VLOOKUP($B23,board!$A:$S,2,FALSE), ""))</f>
        <v>C</v>
      </c>
      <c r="E23" s="2">
        <f>IFERROR(VLOOKUP($B23,board!$A:$S,18,FALSE), "")</f>
        <v>14</v>
      </c>
      <c r="F23" s="2">
        <f>IFERROR(VLOOKUP($B23,board!$A:$S,19,FALSE), "")</f>
        <v>3</v>
      </c>
      <c r="G23" s="2">
        <f t="shared" si="0"/>
        <v>8</v>
      </c>
      <c r="H23" s="11">
        <f t="shared" si="1"/>
        <v>0.36363636363636365</v>
      </c>
    </row>
    <row r="24" spans="1:8" x14ac:dyDescent="0.2">
      <c r="A24">
        <v>23</v>
      </c>
      <c r="B24" t="s">
        <v>188</v>
      </c>
      <c r="C24" t="s">
        <v>95</v>
      </c>
      <c r="D24" s="2" t="str">
        <f>IF(OR(E24="HM", E24="-"),"", IFERROR(VLOOKUP($B24,board!$A:$S,2,FALSE), ""))</f>
        <v>PF</v>
      </c>
      <c r="E24" s="2">
        <f>IFERROR(VLOOKUP($B24,board!$A:$S,18,FALSE), "")</f>
        <v>25</v>
      </c>
      <c r="F24" s="2">
        <f>IFERROR(VLOOKUP($B24,board!$A:$S,19,FALSE), "")</f>
        <v>4</v>
      </c>
      <c r="G24" s="2">
        <f t="shared" si="0"/>
        <v>-2</v>
      </c>
      <c r="H24" s="11">
        <f t="shared" si="1"/>
        <v>-8.6956521739130432E-2</v>
      </c>
    </row>
    <row r="25" spans="1:8" x14ac:dyDescent="0.2">
      <c r="A25">
        <v>24</v>
      </c>
      <c r="B25" t="s">
        <v>505</v>
      </c>
      <c r="C25" t="s">
        <v>108</v>
      </c>
      <c r="D25" s="2" t="str">
        <f>IF(OR(E25="HM", E25="-"),"", IFERROR(VLOOKUP($B25,board!$A:$S,2,FALSE), ""))</f>
        <v>SG</v>
      </c>
      <c r="E25" s="2">
        <f>IFERROR(VLOOKUP($B25,board!$A:$S,18,FALSE), "")</f>
        <v>35</v>
      </c>
      <c r="F25" s="2">
        <f>IFERROR(VLOOKUP($B25,board!$A:$S,19,FALSE), "")</f>
        <v>5</v>
      </c>
      <c r="G25" s="2">
        <f t="shared" si="0"/>
        <v>-11</v>
      </c>
      <c r="H25" s="11">
        <f t="shared" si="1"/>
        <v>-0.45833333333333331</v>
      </c>
    </row>
    <row r="26" spans="1:8" x14ac:dyDescent="0.2">
      <c r="A26">
        <v>25</v>
      </c>
      <c r="B26" t="s">
        <v>212</v>
      </c>
      <c r="C26" t="s">
        <v>97</v>
      </c>
      <c r="D26" s="2" t="str">
        <f>IF(OR(E26="HM", E26="-"),"", IFERROR(VLOOKUP($B26,board!$A:$S,2,FALSE), ""))</f>
        <v>SG</v>
      </c>
      <c r="E26" s="2">
        <f>IFERROR(VLOOKUP($B26,board!$A:$S,18,FALSE), "")</f>
        <v>17</v>
      </c>
      <c r="F26" s="2">
        <f>IFERROR(VLOOKUP($B26,board!$A:$S,19,FALSE), "")</f>
        <v>3</v>
      </c>
      <c r="G26" s="2">
        <f t="shared" si="0"/>
        <v>8</v>
      </c>
      <c r="H26" s="11">
        <f t="shared" si="1"/>
        <v>0.32</v>
      </c>
    </row>
    <row r="27" spans="1:8" x14ac:dyDescent="0.2">
      <c r="A27">
        <v>26</v>
      </c>
      <c r="B27" t="s">
        <v>228</v>
      </c>
      <c r="C27" t="s">
        <v>504</v>
      </c>
      <c r="D27" s="2" t="str">
        <f>IF(OR(E27="HM", E27="-"),"", IFERROR(VLOOKUP($B27,board!$A:$S,2,FALSE), ""))</f>
        <v>SG</v>
      </c>
      <c r="E27" s="2">
        <f>IFERROR(VLOOKUP($B27,board!$A:$S,18,FALSE), "")</f>
        <v>21</v>
      </c>
      <c r="F27" s="2">
        <f>IFERROR(VLOOKUP($B27,board!$A:$S,19,FALSE), "")</f>
        <v>4</v>
      </c>
      <c r="G27" s="2">
        <f t="shared" si="0"/>
        <v>5</v>
      </c>
      <c r="H27" s="11">
        <f t="shared" si="1"/>
        <v>0.19230769230769232</v>
      </c>
    </row>
    <row r="28" spans="1:8" x14ac:dyDescent="0.2">
      <c r="A28">
        <v>27</v>
      </c>
      <c r="B28" t="s">
        <v>148</v>
      </c>
      <c r="C28" t="s">
        <v>506</v>
      </c>
      <c r="D28" s="2" t="str">
        <f>IF(OR(E28="HM", E28="-"),"", IFERROR(VLOOKUP($B28,board!$A:$S,2,FALSE), ""))</f>
        <v>SF</v>
      </c>
      <c r="E28" s="2">
        <f>IFERROR(VLOOKUP($B28,board!$A:$S,18,FALSE), "")</f>
        <v>31</v>
      </c>
      <c r="F28" s="2">
        <f>IFERROR(VLOOKUP($B28,board!$A:$S,19,FALSE), "")</f>
        <v>5</v>
      </c>
      <c r="G28" s="2">
        <f t="shared" si="0"/>
        <v>-4</v>
      </c>
      <c r="H28" s="11">
        <f t="shared" si="1"/>
        <v>-0.14814814814814814</v>
      </c>
    </row>
    <row r="29" spans="1:8" x14ac:dyDescent="0.2">
      <c r="A29">
        <v>28</v>
      </c>
      <c r="B29" t="s">
        <v>133</v>
      </c>
      <c r="C29" t="s">
        <v>93</v>
      </c>
      <c r="D29" s="2" t="str">
        <f>IF(OR(E29="HM", E29="-"),"", IFERROR(VLOOKUP($B29,board!$A:$S,2,FALSE), ""))</f>
        <v>SF</v>
      </c>
      <c r="E29" s="2" t="str">
        <f>IFERROR(VLOOKUP($B29,board!$A:$S,18,FALSE), "")</f>
        <v>HM.</v>
      </c>
      <c r="F29" s="2">
        <f>IFERROR(VLOOKUP($B29,board!$A:$S,19,FALSE), "")</f>
        <v>6</v>
      </c>
      <c r="G29" s="2" t="str">
        <f t="shared" si="0"/>
        <v/>
      </c>
      <c r="H29" s="11" t="str">
        <f t="shared" si="1"/>
        <v/>
      </c>
    </row>
    <row r="30" spans="1:8" x14ac:dyDescent="0.2">
      <c r="A30">
        <v>29</v>
      </c>
      <c r="B30" t="s">
        <v>305</v>
      </c>
      <c r="C30" t="s">
        <v>88</v>
      </c>
      <c r="D30" s="2" t="str">
        <f>IF(OR(E30="HM", E30="-"),"", IFERROR(VLOOKUP($B30,board!$A:$S,2,FALSE), ""))</f>
        <v>SG</v>
      </c>
      <c r="E30" s="2">
        <f>IFERROR(VLOOKUP($B30,board!$A:$S,18,FALSE), "")</f>
        <v>19</v>
      </c>
      <c r="F30" s="2">
        <f>IFERROR(VLOOKUP($B30,board!$A:$S,19,FALSE), "")</f>
        <v>3</v>
      </c>
      <c r="G30" s="2">
        <f t="shared" si="0"/>
        <v>10</v>
      </c>
      <c r="H30" s="11">
        <f t="shared" si="1"/>
        <v>0.34482758620689657</v>
      </c>
    </row>
    <row r="31" spans="1:8" x14ac:dyDescent="0.2">
      <c r="A31">
        <v>30</v>
      </c>
      <c r="B31" t="s">
        <v>161</v>
      </c>
      <c r="C31" t="s">
        <v>103</v>
      </c>
      <c r="D31" s="2" t="str">
        <f>IF(OR(E31="HM", E31="-"),"", IFERROR(VLOOKUP($B31,board!$A:$S,2,FALSE), ""))</f>
        <v>SF</v>
      </c>
      <c r="E31" s="2" t="str">
        <f>IFERROR(VLOOKUP($B31,board!$A:$S,18,FALSE), "")</f>
        <v>HM.</v>
      </c>
      <c r="F31" s="2">
        <f>IFERROR(VLOOKUP($B31,board!$A:$S,19,FALSE), "")</f>
        <v>6</v>
      </c>
      <c r="G31" s="2" t="str">
        <f t="shared" si="0"/>
        <v/>
      </c>
      <c r="H31" s="11" t="str">
        <f t="shared" si="1"/>
        <v/>
      </c>
    </row>
    <row r="32" spans="1:8" x14ac:dyDescent="0.2">
      <c r="A32">
        <v>31</v>
      </c>
      <c r="B32" t="s">
        <v>237</v>
      </c>
      <c r="C32" t="s">
        <v>98</v>
      </c>
      <c r="D32" s="2" t="str">
        <f>IF(OR(E32="HM", E32="-"),"", IFERROR(VLOOKUP($B32,board!$A:$S,2,FALSE), ""))</f>
        <v>PG</v>
      </c>
      <c r="E32" s="2" t="str">
        <f>IFERROR(VLOOKUP($B32,board!$A:$S,18,FALSE), "")</f>
        <v>HM.</v>
      </c>
      <c r="F32" s="2">
        <f>IFERROR(VLOOKUP($B32,board!$A:$S,19,FALSE), "")</f>
        <v>6</v>
      </c>
      <c r="G32" s="2" t="str">
        <f t="shared" si="0"/>
        <v/>
      </c>
      <c r="H32" s="11" t="str">
        <f t="shared" si="1"/>
        <v/>
      </c>
    </row>
    <row r="33" spans="1:8" x14ac:dyDescent="0.2">
      <c r="A33">
        <v>32</v>
      </c>
      <c r="B33" t="s">
        <v>336</v>
      </c>
      <c r="C33" t="s">
        <v>91</v>
      </c>
      <c r="D33" s="2" t="str">
        <f>IF(OR(E33="HM", E33="-"),"", IFERROR(VLOOKUP($B33,board!$A:$S,2,FALSE), ""))</f>
        <v>SF</v>
      </c>
      <c r="E33" s="2" t="str">
        <f>IFERROR(VLOOKUP($B33,board!$A:$S,18,FALSE), "")</f>
        <v>HM.</v>
      </c>
      <c r="F33" s="2">
        <f>IFERROR(VLOOKUP($B33,board!$A:$S,19,FALSE), "")</f>
        <v>6</v>
      </c>
      <c r="G33" s="2" t="str">
        <f t="shared" si="0"/>
        <v/>
      </c>
      <c r="H33" s="11" t="str">
        <f t="shared" si="1"/>
        <v/>
      </c>
    </row>
    <row r="34" spans="1:8" x14ac:dyDescent="0.2">
      <c r="A34">
        <v>33</v>
      </c>
      <c r="B34" t="s">
        <v>120</v>
      </c>
      <c r="C34" t="s">
        <v>90</v>
      </c>
      <c r="D34" s="2" t="str">
        <f>IF(OR(E34="HM", E34="-"),"", IFERROR(VLOOKUP($B34,board!$A:$S,2,FALSE), ""))</f>
        <v>C</v>
      </c>
      <c r="E34" s="2">
        <f>IFERROR(VLOOKUP($B34,board!$A:$S,18,FALSE), "")</f>
        <v>20</v>
      </c>
      <c r="F34" s="2">
        <f>IFERROR(VLOOKUP($B34,board!$A:$S,19,FALSE), "")</f>
        <v>4</v>
      </c>
      <c r="G34" s="2">
        <f t="shared" ref="G34:G61" si="2">IFERROR(A34-E34, "")</f>
        <v>13</v>
      </c>
      <c r="H34" s="11">
        <f t="shared" si="1"/>
        <v>0.39393939393939392</v>
      </c>
    </row>
    <row r="35" spans="1:8" x14ac:dyDescent="0.2">
      <c r="A35">
        <v>34</v>
      </c>
      <c r="B35" t="s">
        <v>150</v>
      </c>
      <c r="C35" t="s">
        <v>92</v>
      </c>
      <c r="D35" s="2" t="str">
        <f>IF(OR(E35="HM", E35="-"),"", IFERROR(VLOOKUP($B35,board!$A:$S,2,FALSE), ""))</f>
        <v>C</v>
      </c>
      <c r="E35" s="2">
        <f>IFERROR(VLOOKUP($B35,board!$A:$S,18,FALSE), "")</f>
        <v>34</v>
      </c>
      <c r="F35" s="2">
        <f>IFERROR(VLOOKUP($B35,board!$A:$S,19,FALSE), "")</f>
        <v>5</v>
      </c>
      <c r="G35" s="2">
        <f t="shared" si="2"/>
        <v>0</v>
      </c>
      <c r="H35" s="11">
        <f t="shared" si="1"/>
        <v>0</v>
      </c>
    </row>
    <row r="36" spans="1:8" x14ac:dyDescent="0.2">
      <c r="A36">
        <v>35</v>
      </c>
      <c r="B36" t="s">
        <v>216</v>
      </c>
      <c r="C36" t="s">
        <v>507</v>
      </c>
      <c r="D36" s="2" t="str">
        <f>IF(OR(E36="HM", E36="-"),"", IFERROR(VLOOKUP($B36,board!$A:$S,2,FALSE), ""))</f>
        <v>SG</v>
      </c>
      <c r="E36" s="2" t="str">
        <f>IFERROR(VLOOKUP($B36,board!$A:$S,18,FALSE), "")</f>
        <v>HM.</v>
      </c>
      <c r="F36" s="2">
        <f>IFERROR(VLOOKUP($B36,board!$A:$S,19,FALSE), "")</f>
        <v>6</v>
      </c>
      <c r="G36" s="2" t="str">
        <f t="shared" si="2"/>
        <v/>
      </c>
      <c r="H36" s="11" t="str">
        <f t="shared" si="1"/>
        <v/>
      </c>
    </row>
    <row r="37" spans="1:8" x14ac:dyDescent="0.2">
      <c r="A37">
        <v>36</v>
      </c>
      <c r="B37" t="s">
        <v>172</v>
      </c>
      <c r="C37" t="s">
        <v>87</v>
      </c>
      <c r="D37" s="2" t="str">
        <f>IF(OR(E37="HM", E37="-"),"", IFERROR(VLOOKUP($B37,board!$A:$S,2,FALSE), ""))</f>
        <v>SG-SF</v>
      </c>
      <c r="E37" s="2" t="str">
        <f>IFERROR(VLOOKUP($B37,board!$A:$S,18,FALSE), "")</f>
        <v>HM.</v>
      </c>
      <c r="F37" s="2">
        <f>IFERROR(VLOOKUP($B37,board!$A:$S,19,FALSE), "")</f>
        <v>6</v>
      </c>
      <c r="G37" s="2" t="str">
        <f t="shared" si="2"/>
        <v/>
      </c>
      <c r="H37" s="11" t="str">
        <f t="shared" si="1"/>
        <v/>
      </c>
    </row>
    <row r="38" spans="1:8" x14ac:dyDescent="0.2">
      <c r="A38">
        <v>37</v>
      </c>
      <c r="B38" t="s">
        <v>270</v>
      </c>
      <c r="C38" t="s">
        <v>508</v>
      </c>
      <c r="D38" s="2" t="str">
        <f>IF(OR(E38="HM", E38="-"),"", IFERROR(VLOOKUP($B38,board!$A:$S,2,FALSE), ""))</f>
        <v>SG</v>
      </c>
      <c r="E38" s="2">
        <f>IFERROR(VLOOKUP($B38,board!$A:$S,18,FALSE), "")</f>
        <v>36</v>
      </c>
      <c r="F38" s="2">
        <f>IFERROR(VLOOKUP($B38,board!$A:$S,19,FALSE), "")</f>
        <v>5</v>
      </c>
      <c r="G38" s="2">
        <f t="shared" si="2"/>
        <v>1</v>
      </c>
      <c r="H38" s="11">
        <f t="shared" si="1"/>
        <v>2.7027027027027029E-2</v>
      </c>
    </row>
    <row r="39" spans="1:8" x14ac:dyDescent="0.2">
      <c r="A39">
        <v>38</v>
      </c>
      <c r="B39" t="s">
        <v>247</v>
      </c>
      <c r="C39" t="s">
        <v>95</v>
      </c>
      <c r="D39" s="2" t="str">
        <f>IF(OR(E39="HM", E39="-"),"", IFERROR(VLOOKUP($B39,board!$A:$S,2,FALSE), ""))</f>
        <v>PG</v>
      </c>
      <c r="E39" s="2">
        <f>IFERROR(VLOOKUP($B39,board!$A:$S,18,FALSE), "")</f>
        <v>28</v>
      </c>
      <c r="F39" s="2">
        <f>IFERROR(VLOOKUP($B39,board!$A:$S,19,FALSE), "")</f>
        <v>4</v>
      </c>
      <c r="G39" s="2">
        <f t="shared" si="2"/>
        <v>10</v>
      </c>
      <c r="H39" s="11">
        <f t="shared" si="1"/>
        <v>0.26315789473684209</v>
      </c>
    </row>
    <row r="40" spans="1:8" x14ac:dyDescent="0.2">
      <c r="A40">
        <v>39</v>
      </c>
      <c r="B40" t="s">
        <v>273</v>
      </c>
      <c r="C40" t="s">
        <v>89</v>
      </c>
      <c r="D40" s="2" t="str">
        <f>IF(OR(E40="HM", E40="-"),"", IFERROR(VLOOKUP($B40,board!$A:$S,2,FALSE), ""))</f>
        <v>C</v>
      </c>
      <c r="E40" s="2" t="str">
        <f>IFERROR(VLOOKUP($B40,board!$A:$S,18,FALSE), "")</f>
        <v>HM.</v>
      </c>
      <c r="F40" s="2">
        <f>IFERROR(VLOOKUP($B40,board!$A:$S,19,FALSE), "")</f>
        <v>6</v>
      </c>
      <c r="G40" s="2" t="str">
        <f t="shared" si="2"/>
        <v/>
      </c>
      <c r="H40" s="11" t="str">
        <f t="shared" si="1"/>
        <v/>
      </c>
    </row>
    <row r="41" spans="1:8" x14ac:dyDescent="0.2">
      <c r="A41">
        <v>40</v>
      </c>
      <c r="B41" t="s">
        <v>206</v>
      </c>
      <c r="C41" t="s">
        <v>96</v>
      </c>
      <c r="D41" s="2" t="str">
        <f>IF(OR(E41="HM", E41="-"),"", IFERROR(VLOOKUP($B41,board!$A:$S,2,FALSE), ""))</f>
        <v>SG</v>
      </c>
      <c r="E41" s="2" t="str">
        <f>IFERROR(VLOOKUP($B41,board!$A:$S,18,FALSE), "")</f>
        <v>HM.</v>
      </c>
      <c r="F41" s="2">
        <f>IFERROR(VLOOKUP($B41,board!$A:$S,19,FALSE), "")</f>
        <v>6</v>
      </c>
      <c r="G41" s="2" t="str">
        <f t="shared" si="2"/>
        <v/>
      </c>
      <c r="H41" s="11" t="str">
        <f t="shared" si="1"/>
        <v/>
      </c>
    </row>
    <row r="42" spans="1:8" x14ac:dyDescent="0.2">
      <c r="A42">
        <v>41</v>
      </c>
      <c r="B42" t="s">
        <v>205</v>
      </c>
      <c r="C42" t="s">
        <v>104</v>
      </c>
      <c r="D42" s="2" t="str">
        <f>IF(OR(E42="HM", E42="-"),"", IFERROR(VLOOKUP($B42,board!$A:$S,2,FALSE), ""))</f>
        <v>PF</v>
      </c>
      <c r="E42" s="2">
        <f>IFERROR(VLOOKUP($B42,board!$A:$S,18,FALSE), "")</f>
        <v>23</v>
      </c>
      <c r="F42" s="2">
        <f>IFERROR(VLOOKUP($B42,board!$A:$S,19,FALSE), "")</f>
        <v>4</v>
      </c>
      <c r="G42" s="2">
        <f t="shared" si="2"/>
        <v>18</v>
      </c>
      <c r="H42" s="11">
        <f t="shared" si="1"/>
        <v>0.43902439024390244</v>
      </c>
    </row>
    <row r="43" spans="1:8" x14ac:dyDescent="0.2">
      <c r="A43">
        <v>42</v>
      </c>
      <c r="B43" t="s">
        <v>223</v>
      </c>
      <c r="C43" t="s">
        <v>102</v>
      </c>
      <c r="D43" s="2" t="str">
        <f>IF(OR(E43="HM", E43="-"),"", IFERROR(VLOOKUP($B43,board!$A:$S,2,FALSE), ""))</f>
        <v>SG</v>
      </c>
      <c r="E43" s="2">
        <f>IFERROR(VLOOKUP($B43,board!$A:$S,18,FALSE), "")</f>
        <v>18</v>
      </c>
      <c r="F43" s="2">
        <f>IFERROR(VLOOKUP($B43,board!$A:$S,19,FALSE), "")</f>
        <v>3</v>
      </c>
      <c r="G43" s="2">
        <f t="shared" si="2"/>
        <v>24</v>
      </c>
      <c r="H43" s="11">
        <f t="shared" si="1"/>
        <v>0.5714285714285714</v>
      </c>
    </row>
    <row r="44" spans="1:8" x14ac:dyDescent="0.2">
      <c r="A44">
        <v>43</v>
      </c>
      <c r="B44" t="s">
        <v>139</v>
      </c>
      <c r="C44" t="s">
        <v>101</v>
      </c>
      <c r="D44" s="2" t="str">
        <f>IF(OR(E44="HM", E44="-"),"", IFERROR(VLOOKUP($B44,board!$A:$S,2,FALSE), ""))</f>
        <v>C</v>
      </c>
      <c r="E44" s="2" t="str">
        <f>IFERROR(VLOOKUP($B44,board!$A:$S,18,FALSE), "")</f>
        <v>HM.</v>
      </c>
      <c r="F44" s="2">
        <f>IFERROR(VLOOKUP($B44,board!$A:$S,19,FALSE), "")</f>
        <v>6</v>
      </c>
      <c r="G44" s="2" t="str">
        <f t="shared" si="2"/>
        <v/>
      </c>
      <c r="H44" s="11" t="str">
        <f t="shared" si="1"/>
        <v/>
      </c>
    </row>
    <row r="45" spans="1:8" x14ac:dyDescent="0.2">
      <c r="A45">
        <v>44</v>
      </c>
      <c r="B45" t="s">
        <v>229</v>
      </c>
      <c r="C45" t="s">
        <v>93</v>
      </c>
      <c r="D45" s="2" t="str">
        <f>IF(OR(E45="HM", E45="-"),"", IFERROR(VLOOKUP($B45,board!$A:$S,2,FALSE), ""))</f>
        <v>SG</v>
      </c>
      <c r="E45" s="2">
        <f>IFERROR(VLOOKUP($B45,board!$A:$S,18,FALSE), "")</f>
        <v>27</v>
      </c>
      <c r="F45" s="2">
        <f>IFERROR(VLOOKUP($B45,board!$A:$S,19,FALSE), "")</f>
        <v>4</v>
      </c>
      <c r="G45" s="2">
        <f t="shared" si="2"/>
        <v>17</v>
      </c>
      <c r="H45" s="11">
        <f t="shared" si="1"/>
        <v>0.38636363636363635</v>
      </c>
    </row>
    <row r="46" spans="1:8" x14ac:dyDescent="0.2">
      <c r="A46">
        <v>45</v>
      </c>
      <c r="B46" t="s">
        <v>320</v>
      </c>
      <c r="C46" t="s">
        <v>504</v>
      </c>
      <c r="D46" s="2" t="str">
        <f>IF(OR(E46="HM", E46="-"),"", IFERROR(VLOOKUP($B46,board!$A:$S,2,FALSE), ""))</f>
        <v>PF</v>
      </c>
      <c r="E46" s="2">
        <f>IFERROR(VLOOKUP($B46,board!$A:$S,18,FALSE), "")</f>
        <v>24</v>
      </c>
      <c r="F46" s="2">
        <f>IFERROR(VLOOKUP($B46,board!$A:$S,19,FALSE), "")</f>
        <v>4</v>
      </c>
      <c r="G46" s="2">
        <f t="shared" si="2"/>
        <v>21</v>
      </c>
      <c r="H46" s="11">
        <f t="shared" si="1"/>
        <v>0.46666666666666667</v>
      </c>
    </row>
    <row r="47" spans="1:8" x14ac:dyDescent="0.2">
      <c r="A47">
        <v>46</v>
      </c>
      <c r="B47" t="s">
        <v>266</v>
      </c>
      <c r="C47" t="s">
        <v>103</v>
      </c>
      <c r="D47" s="2" t="str">
        <f>IF(OR(E47="HM", E47="-"),"", IFERROR(VLOOKUP($B47,board!$A:$S,2,FALSE), ""))</f>
        <v>PF</v>
      </c>
      <c r="E47" s="2" t="str">
        <f>IFERROR(VLOOKUP($B47,board!$A:$S,18,FALSE), "")</f>
        <v>HM.</v>
      </c>
      <c r="F47" s="2">
        <f>IFERROR(VLOOKUP($B47,board!$A:$S,19,FALSE), "")</f>
        <v>6</v>
      </c>
      <c r="G47" s="2" t="str">
        <f t="shared" si="2"/>
        <v/>
      </c>
      <c r="H47" s="11" t="str">
        <f t="shared" si="1"/>
        <v/>
      </c>
    </row>
    <row r="48" spans="1:8" x14ac:dyDescent="0.2">
      <c r="A48">
        <v>47</v>
      </c>
      <c r="B48" t="s">
        <v>373</v>
      </c>
      <c r="C48" t="s">
        <v>95</v>
      </c>
      <c r="D48" s="2" t="str">
        <f>IF(OR(E48="HM", E48="-"),"", IFERROR(VLOOKUP($B48,board!$A:$S,2,FALSE), ""))</f>
        <v>SF</v>
      </c>
      <c r="E48" s="2" t="str">
        <f>IFERROR(VLOOKUP($B48,board!$A:$S,18,FALSE), "")</f>
        <v/>
      </c>
      <c r="F48" s="2">
        <f>IFERROR(VLOOKUP($B48,board!$A:$S,19,FALSE), "")</f>
        <v>7</v>
      </c>
      <c r="G48" s="2" t="str">
        <f t="shared" si="2"/>
        <v/>
      </c>
      <c r="H48" s="11" t="str">
        <f t="shared" si="1"/>
        <v/>
      </c>
    </row>
    <row r="49" spans="1:8" x14ac:dyDescent="0.2">
      <c r="A49">
        <v>48</v>
      </c>
      <c r="B49" t="s">
        <v>210</v>
      </c>
      <c r="C49" t="s">
        <v>98</v>
      </c>
      <c r="D49" s="2" t="str">
        <f>IF(OR(E49="HM", E49="-"),"", IFERROR(VLOOKUP($B49,board!$A:$S,2,FALSE), ""))</f>
        <v>SF</v>
      </c>
      <c r="E49" s="2">
        <f>IFERROR(VLOOKUP($B49,board!$A:$S,18,FALSE), "")</f>
        <v>26</v>
      </c>
      <c r="F49" s="2">
        <f>IFERROR(VLOOKUP($B49,board!$A:$S,19,FALSE), "")</f>
        <v>4</v>
      </c>
      <c r="G49" s="2">
        <f t="shared" si="2"/>
        <v>22</v>
      </c>
      <c r="H49" s="11">
        <f t="shared" si="1"/>
        <v>0.45833333333333331</v>
      </c>
    </row>
    <row r="50" spans="1:8" x14ac:dyDescent="0.2">
      <c r="A50">
        <v>49</v>
      </c>
      <c r="B50" t="s">
        <v>345</v>
      </c>
      <c r="C50" t="s">
        <v>89</v>
      </c>
      <c r="D50" s="2" t="str">
        <f>IF(OR(E50="HM", E50="-"),"", IFERROR(VLOOKUP($B50,board!$A:$S,2,FALSE), ""))</f>
        <v>C</v>
      </c>
      <c r="E50" s="2" t="str">
        <f>IFERROR(VLOOKUP($B50,board!$A:$S,18,FALSE), "")</f>
        <v>HM.</v>
      </c>
      <c r="F50" s="2">
        <f>IFERROR(VLOOKUP($B50,board!$A:$S,19,FALSE), "")</f>
        <v>6</v>
      </c>
      <c r="G50" s="2" t="str">
        <f t="shared" si="2"/>
        <v/>
      </c>
      <c r="H50" s="11" t="str">
        <f t="shared" si="1"/>
        <v/>
      </c>
    </row>
    <row r="51" spans="1:8" x14ac:dyDescent="0.2">
      <c r="A51">
        <v>50</v>
      </c>
      <c r="B51" t="s">
        <v>220</v>
      </c>
      <c r="C51" t="s">
        <v>504</v>
      </c>
      <c r="D51" s="2" t="str">
        <f>IF(OR(E51="HM", E51="-"),"", IFERROR(VLOOKUP($B51,board!$A:$S,2,FALSE), ""))</f>
        <v>PG</v>
      </c>
      <c r="E51" s="2" t="str">
        <f>IFERROR(VLOOKUP($B51,board!$A:$S,18,FALSE), "")</f>
        <v>HM.</v>
      </c>
      <c r="F51" s="2">
        <f>IFERROR(VLOOKUP($B51,board!$A:$S,19,FALSE), "")</f>
        <v>6</v>
      </c>
      <c r="G51" s="2" t="str">
        <f t="shared" si="2"/>
        <v/>
      </c>
      <c r="H51" s="11" t="str">
        <f t="shared" si="1"/>
        <v/>
      </c>
    </row>
    <row r="52" spans="1:8" x14ac:dyDescent="0.2">
      <c r="A52">
        <v>51</v>
      </c>
      <c r="B52" t="s">
        <v>264</v>
      </c>
      <c r="C52" t="s">
        <v>100</v>
      </c>
      <c r="D52" s="2" t="str">
        <f>IF(OR(E52="HM", E52="-"),"", IFERROR(VLOOKUP($B52,board!$A:$S,2,FALSE), ""))</f>
        <v>SG-SF</v>
      </c>
      <c r="E52" s="2" t="str">
        <f>IFERROR(VLOOKUP($B52,board!$A:$S,18,FALSE), "")</f>
        <v/>
      </c>
      <c r="F52" s="2">
        <f>IFERROR(VLOOKUP($B52,board!$A:$S,19,FALSE), "")</f>
        <v>7</v>
      </c>
      <c r="G52" s="2" t="str">
        <f t="shared" si="2"/>
        <v/>
      </c>
      <c r="H52" s="11" t="str">
        <f t="shared" si="1"/>
        <v/>
      </c>
    </row>
    <row r="53" spans="1:8" x14ac:dyDescent="0.2">
      <c r="A53">
        <v>52</v>
      </c>
      <c r="B53" t="s">
        <v>371</v>
      </c>
      <c r="C53" t="s">
        <v>104</v>
      </c>
      <c r="D53" s="2" t="str">
        <f>IF(OR(E53="HM", E53="-"),"", IFERROR(VLOOKUP($B53,board!$A:$S,2,FALSE), ""))</f>
        <v>PF</v>
      </c>
      <c r="E53" s="2" t="str">
        <f>IFERROR(VLOOKUP($B53,board!$A:$S,18,FALSE), "")</f>
        <v>HM.</v>
      </c>
      <c r="F53" s="2">
        <f>IFERROR(VLOOKUP($B53,board!$A:$S,19,FALSE), "")</f>
        <v>6</v>
      </c>
      <c r="G53" s="2" t="str">
        <f t="shared" si="2"/>
        <v/>
      </c>
      <c r="H53" s="11" t="str">
        <f t="shared" si="1"/>
        <v/>
      </c>
    </row>
    <row r="54" spans="1:8" x14ac:dyDescent="0.2">
      <c r="A54">
        <v>53</v>
      </c>
      <c r="B54" t="s">
        <v>234</v>
      </c>
      <c r="C54" t="s">
        <v>107</v>
      </c>
      <c r="D54" s="2" t="str">
        <f>IF(OR(E54="HM", E54="-"),"", IFERROR(VLOOKUP($B54,board!$A:$S,2,FALSE), ""))</f>
        <v>PG</v>
      </c>
      <c r="E54" s="2">
        <f>IFERROR(VLOOKUP($B54,board!$A:$S,18,FALSE), "")</f>
        <v>37</v>
      </c>
      <c r="F54" s="2">
        <f>IFERROR(VLOOKUP($B54,board!$A:$S,19,FALSE), "")</f>
        <v>5</v>
      </c>
      <c r="G54" s="2">
        <f t="shared" si="2"/>
        <v>16</v>
      </c>
      <c r="H54" s="11">
        <f t="shared" si="1"/>
        <v>0.30188679245283018</v>
      </c>
    </row>
    <row r="55" spans="1:8" x14ac:dyDescent="0.2">
      <c r="A55">
        <v>54</v>
      </c>
      <c r="B55" t="s">
        <v>370</v>
      </c>
      <c r="C55" t="s">
        <v>99</v>
      </c>
      <c r="D55" s="2" t="str">
        <f>IF(OR(E55="HM", E55="-"),"", IFERROR(VLOOKUP($B55,board!$A:$S,2,FALSE), ""))</f>
        <v>C</v>
      </c>
      <c r="E55" s="2" t="str">
        <f>IFERROR(VLOOKUP($B55,board!$A:$S,18,FALSE), "")</f>
        <v>HM.</v>
      </c>
      <c r="F55" s="2">
        <f>IFERROR(VLOOKUP($B55,board!$A:$S,19,FALSE), "")</f>
        <v>6</v>
      </c>
      <c r="G55" s="2" t="str">
        <f t="shared" si="2"/>
        <v/>
      </c>
      <c r="H55" s="11" t="str">
        <f t="shared" si="1"/>
        <v/>
      </c>
    </row>
    <row r="56" spans="1:8" x14ac:dyDescent="0.2">
      <c r="A56">
        <v>55</v>
      </c>
      <c r="B56" t="s">
        <v>372</v>
      </c>
      <c r="C56" t="s">
        <v>93</v>
      </c>
      <c r="D56" s="2" t="str">
        <f>IF(OR(E56="HM", E56="-"),"", IFERROR(VLOOKUP($B56,board!$A:$S,2,FALSE), ""))</f>
        <v>SF</v>
      </c>
      <c r="E56" s="2" t="str">
        <f>IFERROR(VLOOKUP($B56,board!$A:$S,18,FALSE), "")</f>
        <v>HM.</v>
      </c>
      <c r="F56" s="2">
        <f>IFERROR(VLOOKUP($B56,board!$A:$S,19,FALSE), "")</f>
        <v>6</v>
      </c>
      <c r="G56" s="2" t="str">
        <f t="shared" si="2"/>
        <v/>
      </c>
      <c r="H56" s="11" t="str">
        <f t="shared" si="1"/>
        <v/>
      </c>
    </row>
    <row r="57" spans="1:8" x14ac:dyDescent="0.2">
      <c r="A57">
        <v>56</v>
      </c>
      <c r="B57" t="s">
        <v>338</v>
      </c>
      <c r="C57" t="s">
        <v>89</v>
      </c>
      <c r="D57" s="2" t="str">
        <f>IF(OR(E57="HM", E57="-"),"", IFERROR(VLOOKUP($B57,board!$A:$S,2,FALSE), ""))</f>
        <v>SF</v>
      </c>
      <c r="E57" s="2" t="str">
        <f>IFERROR(VLOOKUP($B57,board!$A:$S,18,FALSE), "")</f>
        <v>HM.</v>
      </c>
      <c r="F57" s="2">
        <f>IFERROR(VLOOKUP($B57,board!$A:$S,19,FALSE), "")</f>
        <v>6</v>
      </c>
      <c r="G57" s="2" t="str">
        <f t="shared" si="2"/>
        <v/>
      </c>
      <c r="H57" s="11" t="str">
        <f t="shared" si="1"/>
        <v/>
      </c>
    </row>
    <row r="58" spans="1:8" x14ac:dyDescent="0.2">
      <c r="A58">
        <v>57</v>
      </c>
      <c r="B58" t="s">
        <v>190</v>
      </c>
      <c r="C58" t="s">
        <v>106</v>
      </c>
      <c r="D58" s="2" t="str">
        <f>IF(OR(E58="HM", E58="-"),"", IFERROR(VLOOKUP($B58,board!$A:$S,2,FALSE), ""))</f>
        <v>PF</v>
      </c>
      <c r="E58" s="2" t="str">
        <f>IFERROR(VLOOKUP($B58,board!$A:$S,18,FALSE), "")</f>
        <v>HM.</v>
      </c>
      <c r="F58" s="2">
        <f>IFERROR(VLOOKUP($B58,board!$A:$S,19,FALSE), "")</f>
        <v>6</v>
      </c>
      <c r="G58" s="2" t="str">
        <f t="shared" si="2"/>
        <v/>
      </c>
      <c r="H58" s="11" t="str">
        <f t="shared" si="1"/>
        <v/>
      </c>
    </row>
    <row r="59" spans="1:8" x14ac:dyDescent="0.2">
      <c r="A59">
        <v>58</v>
      </c>
      <c r="B59" t="s">
        <v>217</v>
      </c>
      <c r="C59" t="s">
        <v>108</v>
      </c>
      <c r="D59" s="2" t="str">
        <f>IF(OR(E59="HM", E59="-"),"", IFERROR(VLOOKUP($B59,board!$A:$S,2,FALSE), ""))</f>
        <v>SG</v>
      </c>
      <c r="E59" s="2" t="str">
        <f>IFERROR(VLOOKUP($B59,board!$A:$S,18,FALSE), "")</f>
        <v>HM.</v>
      </c>
      <c r="F59" s="2">
        <f>IFERROR(VLOOKUP($B59,board!$A:$S,19,FALSE), "")</f>
        <v>6</v>
      </c>
      <c r="G59" s="2" t="str">
        <f t="shared" si="2"/>
        <v/>
      </c>
      <c r="H59" s="11" t="str">
        <f t="shared" si="1"/>
        <v/>
      </c>
    </row>
    <row r="60" spans="1:8" x14ac:dyDescent="0.2">
      <c r="A60">
        <v>59</v>
      </c>
      <c r="D60" s="2" t="str">
        <f>IF(OR(E60="HM", E60="-"),"", IFERROR(VLOOKUP($B60,board!$A:$S,2,FALSE), ""))</f>
        <v/>
      </c>
      <c r="E60" s="2" t="str">
        <f>IFERROR(VLOOKUP($B60,board!$A:$S,18,FALSE), "")</f>
        <v/>
      </c>
      <c r="F60" s="2" t="str">
        <f>IFERROR(VLOOKUP($B60,board!$A:$S,19,FALSE), "")</f>
        <v/>
      </c>
      <c r="G60" s="2" t="str">
        <f t="shared" si="2"/>
        <v/>
      </c>
      <c r="H60" s="11" t="str">
        <f t="shared" si="1"/>
        <v/>
      </c>
    </row>
    <row r="61" spans="1:8" x14ac:dyDescent="0.2">
      <c r="A61">
        <v>60</v>
      </c>
      <c r="D61" s="2" t="str">
        <f>IF(OR(E61="HM", E61="-"),"", IFERROR(VLOOKUP($B61,board!$A:$S,2,FALSE), ""))</f>
        <v/>
      </c>
      <c r="E61" s="2" t="str">
        <f>IFERROR(VLOOKUP($B61,board!$A:$S,18,FALSE), "")</f>
        <v/>
      </c>
      <c r="F61" s="2" t="str">
        <f>IFERROR(VLOOKUP($B61,board!$A:$S,19,FALSE), "")</f>
        <v/>
      </c>
      <c r="G61" s="2" t="str">
        <f t="shared" si="2"/>
        <v/>
      </c>
      <c r="H61" s="11" t="str">
        <f t="shared" si="1"/>
        <v/>
      </c>
    </row>
  </sheetData>
  <autoFilter ref="A1:H61" xr:uid="{3E38746A-E939-E743-968A-B5038E272255}">
    <sortState ref="A2:H61">
      <sortCondition ref="A1:A6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board</vt:lpstr>
      <vt:lpstr>measureables</vt:lpstr>
      <vt:lpstr>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2019-06-19T17:04:52Z</dcterms:created>
  <dcterms:modified xsi:type="dcterms:W3CDTF">2022-06-24T19:37:46Z</dcterms:modified>
</cp:coreProperties>
</file>