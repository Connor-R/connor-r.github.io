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connorreed/Dropbox/Desktop_Files/Work_Things/connor-r.github.io/Posts/"/>
    </mc:Choice>
  </mc:AlternateContent>
  <xr:revisionPtr revIDLastSave="0" documentId="13_ncr:1_{B4A5B8AE-63D9-F449-B14D-28DA82020E2E}" xr6:coauthVersionLast="43" xr6:coauthVersionMax="43" xr10:uidLastSave="{00000000-0000-0000-0000-000000000000}"/>
  <bookViews>
    <workbookView xWindow="37680" yWindow="3400" windowWidth="27440" windowHeight="17540" activeTab="1" xr2:uid="{00000000-000D-0000-FFFF-FFFF00000000}"/>
  </bookViews>
  <sheets>
    <sheet name="board" sheetId="1" r:id="rId1"/>
    <sheet name="actual" sheetId="4" r:id="rId2"/>
    <sheet name="ringer measureables" sheetId="2" r:id="rId3"/>
  </sheets>
  <definedNames>
    <definedName name="_xlnm._FilterDatabase" localSheetId="1" hidden="1">actual!$A$1:$H$61</definedName>
    <definedName name="_xlnm._FilterDatabase" localSheetId="0" hidden="1">board!$A$1:$AF$76</definedName>
    <definedName name="_xlnm._FilterDatabase" localSheetId="2" hidden="1">'ringer measureables'!$A$1:$J$1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F61" i="4" l="1"/>
  <c r="E61" i="4"/>
  <c r="G61" i="4" s="1"/>
  <c r="E60" i="4"/>
  <c r="G60" i="4" s="1"/>
  <c r="E59" i="4"/>
  <c r="G59" i="4" s="1"/>
  <c r="E58" i="4"/>
  <c r="G58" i="4" s="1"/>
  <c r="E57" i="4"/>
  <c r="G57" i="4" s="1"/>
  <c r="F56" i="4"/>
  <c r="E56" i="4"/>
  <c r="G56" i="4" s="1"/>
  <c r="E55" i="4"/>
  <c r="G55" i="4" s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F53" i="4"/>
  <c r="F52" i="4"/>
  <c r="F47" i="4"/>
  <c r="F45" i="4"/>
  <c r="F43" i="4"/>
  <c r="F39" i="4"/>
  <c r="F38" i="4"/>
  <c r="E54" i="4"/>
  <c r="G54" i="4" s="1"/>
  <c r="E53" i="4"/>
  <c r="G53" i="4" s="1"/>
  <c r="E52" i="4"/>
  <c r="G52" i="4" s="1"/>
  <c r="E51" i="4"/>
  <c r="G51" i="4" s="1"/>
  <c r="E50" i="4"/>
  <c r="G50" i="4" s="1"/>
  <c r="E49" i="4"/>
  <c r="G49" i="4" s="1"/>
  <c r="E48" i="4"/>
  <c r="G48" i="4" s="1"/>
  <c r="E47" i="4"/>
  <c r="G47" i="4" s="1"/>
  <c r="E46" i="4"/>
  <c r="G46" i="4" s="1"/>
  <c r="E45" i="4"/>
  <c r="G45" i="4" s="1"/>
  <c r="E44" i="4"/>
  <c r="G44" i="4" s="1"/>
  <c r="E43" i="4"/>
  <c r="G43" i="4" s="1"/>
  <c r="E42" i="4"/>
  <c r="G42" i="4" s="1"/>
  <c r="E41" i="4"/>
  <c r="G41" i="4" s="1"/>
  <c r="E40" i="4"/>
  <c r="G40" i="4" s="1"/>
  <c r="E39" i="4"/>
  <c r="G39" i="4" s="1"/>
  <c r="E38" i="4"/>
  <c r="G38" i="4" s="1"/>
  <c r="E37" i="4"/>
  <c r="G37" i="4" s="1"/>
  <c r="E36" i="4"/>
  <c r="G36" i="4" s="1"/>
  <c r="E35" i="4"/>
  <c r="G35" i="4" s="1"/>
  <c r="E34" i="4"/>
  <c r="G34" i="4" s="1"/>
  <c r="E33" i="4"/>
  <c r="G33" i="4" s="1"/>
  <c r="E32" i="4"/>
  <c r="G32" i="4" s="1"/>
  <c r="E31" i="4"/>
  <c r="G31" i="4" s="1"/>
  <c r="E30" i="4"/>
  <c r="G30" i="4" s="1"/>
  <c r="E29" i="4"/>
  <c r="G29" i="4" s="1"/>
  <c r="E28" i="4"/>
  <c r="G28" i="4" s="1"/>
  <c r="E27" i="4"/>
  <c r="G27" i="4" s="1"/>
  <c r="E26" i="4"/>
  <c r="G26" i="4" s="1"/>
  <c r="E25" i="4"/>
  <c r="G25" i="4" s="1"/>
  <c r="E24" i="4"/>
  <c r="G24" i="4" s="1"/>
  <c r="E23" i="4"/>
  <c r="G23" i="4" s="1"/>
  <c r="E22" i="4"/>
  <c r="G22" i="4" s="1"/>
  <c r="E21" i="4"/>
  <c r="G21" i="4" s="1"/>
  <c r="E20" i="4"/>
  <c r="G20" i="4" s="1"/>
  <c r="E19" i="4"/>
  <c r="G19" i="4" s="1"/>
  <c r="E18" i="4"/>
  <c r="G18" i="4" s="1"/>
  <c r="E17" i="4"/>
  <c r="G17" i="4" s="1"/>
  <c r="E16" i="4"/>
  <c r="G16" i="4" s="1"/>
  <c r="E15" i="4"/>
  <c r="G15" i="4" s="1"/>
  <c r="E14" i="4"/>
  <c r="G14" i="4" s="1"/>
  <c r="E13" i="4"/>
  <c r="G13" i="4" s="1"/>
  <c r="E12" i="4"/>
  <c r="G12" i="4" s="1"/>
  <c r="E11" i="4"/>
  <c r="G11" i="4" s="1"/>
  <c r="E10" i="4"/>
  <c r="G10" i="4" s="1"/>
  <c r="E9" i="4"/>
  <c r="G9" i="4" s="1"/>
  <c r="E8" i="4"/>
  <c r="G8" i="4" s="1"/>
  <c r="E7" i="4"/>
  <c r="G7" i="4" s="1"/>
  <c r="E6" i="4"/>
  <c r="G6" i="4" s="1"/>
  <c r="E5" i="4"/>
  <c r="G5" i="4" s="1"/>
  <c r="E4" i="4"/>
  <c r="G4" i="4" s="1"/>
  <c r="E3" i="4"/>
  <c r="G3" i="4" s="1"/>
  <c r="E2" i="4"/>
  <c r="G2" i="4" s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D2" i="1"/>
  <c r="C2" i="1"/>
  <c r="C3" i="1"/>
  <c r="H10" i="4" l="1"/>
  <c r="H20" i="4"/>
  <c r="H23" i="4"/>
  <c r="H50" i="4"/>
  <c r="H27" i="4"/>
  <c r="H3" i="4"/>
  <c r="H24" i="4"/>
  <c r="H35" i="4"/>
  <c r="H40" i="4"/>
  <c r="H18" i="4"/>
  <c r="H36" i="4"/>
  <c r="H39" i="4"/>
  <c r="H60" i="4"/>
  <c r="H43" i="4"/>
  <c r="H59" i="4"/>
  <c r="H21" i="4"/>
  <c r="H51" i="4"/>
  <c r="H19" i="4"/>
  <c r="H5" i="4"/>
  <c r="H14" i="4"/>
  <c r="H45" i="4"/>
  <c r="H34" i="4"/>
  <c r="H16" i="4"/>
  <c r="H33" i="4"/>
  <c r="H41" i="4"/>
  <c r="H13" i="4"/>
  <c r="H32" i="4"/>
  <c r="H47" i="4"/>
  <c r="H17" i="4"/>
  <c r="H37" i="4"/>
  <c r="H46" i="4"/>
  <c r="H31" i="4"/>
  <c r="H49" i="4"/>
  <c r="H57" i="4"/>
  <c r="H12" i="4"/>
  <c r="H52" i="4"/>
  <c r="H26" i="4"/>
  <c r="H11" i="4"/>
  <c r="H15" i="4"/>
  <c r="H25" i="4"/>
  <c r="H58" i="4"/>
  <c r="H44" i="4"/>
  <c r="H4" i="4"/>
  <c r="H53" i="4"/>
  <c r="H9" i="4"/>
  <c r="H30" i="4"/>
  <c r="H48" i="4"/>
  <c r="H54" i="4"/>
  <c r="H42" i="4"/>
  <c r="H2" i="4"/>
  <c r="H7" i="4"/>
  <c r="H56" i="4"/>
  <c r="H28" i="4"/>
  <c r="H6" i="4"/>
  <c r="H55" i="4"/>
  <c r="H29" i="4"/>
  <c r="H8" i="4"/>
  <c r="H22" i="4"/>
  <c r="H38" i="4"/>
  <c r="H61" i="4"/>
  <c r="D56" i="4"/>
  <c r="D58" i="4"/>
  <c r="D60" i="4"/>
  <c r="D55" i="4"/>
  <c r="D57" i="4"/>
  <c r="D59" i="4"/>
  <c r="D61" i="4"/>
  <c r="D7" i="4"/>
  <c r="D15" i="4"/>
  <c r="D23" i="4"/>
  <c r="D31" i="4"/>
  <c r="D39" i="4"/>
  <c r="D47" i="4"/>
  <c r="D8" i="4"/>
  <c r="D16" i="4"/>
  <c r="D24" i="4"/>
  <c r="D32" i="4"/>
  <c r="D40" i="4"/>
  <c r="D48" i="4"/>
  <c r="D9" i="4"/>
  <c r="D17" i="4"/>
  <c r="D25" i="4"/>
  <c r="D33" i="4"/>
  <c r="D41" i="4"/>
  <c r="D49" i="4"/>
  <c r="D2" i="4"/>
  <c r="D10" i="4"/>
  <c r="D18" i="4"/>
  <c r="D26" i="4"/>
  <c r="D34" i="4"/>
  <c r="D42" i="4"/>
  <c r="D50" i="4"/>
  <c r="D3" i="4"/>
  <c r="D11" i="4"/>
  <c r="D19" i="4"/>
  <c r="D27" i="4"/>
  <c r="D35" i="4"/>
  <c r="D43" i="4"/>
  <c r="D51" i="4"/>
  <c r="D4" i="4"/>
  <c r="D12" i="4"/>
  <c r="D20" i="4"/>
  <c r="D28" i="4"/>
  <c r="D36" i="4"/>
  <c r="D44" i="4"/>
  <c r="D52" i="4"/>
  <c r="D5" i="4"/>
  <c r="D13" i="4"/>
  <c r="D21" i="4"/>
  <c r="D29" i="4"/>
  <c r="D37" i="4"/>
  <c r="D45" i="4"/>
  <c r="D53" i="4"/>
  <c r="D6" i="4"/>
  <c r="D14" i="4"/>
  <c r="D22" i="4"/>
  <c r="D30" i="4"/>
  <c r="D38" i="4"/>
  <c r="D46" i="4"/>
  <c r="D54" i="4"/>
  <c r="AF54" i="1"/>
  <c r="K54" i="1" s="1"/>
  <c r="AE54" i="1"/>
  <c r="J54" i="1" s="1"/>
  <c r="AD54" i="1"/>
  <c r="I54" i="1" s="1"/>
  <c r="AC54" i="1"/>
  <c r="H54" i="1" s="1"/>
  <c r="G54" i="1"/>
  <c r="L54" i="1" l="1"/>
  <c r="M54" i="1"/>
  <c r="AD44" i="1"/>
  <c r="I44" i="1" s="1"/>
  <c r="AD52" i="1"/>
  <c r="I52" i="1" s="1"/>
  <c r="AD46" i="1"/>
  <c r="I46" i="1" s="1"/>
  <c r="AD39" i="1"/>
  <c r="I39" i="1" s="1"/>
  <c r="AD48" i="1"/>
  <c r="I48" i="1" s="1"/>
  <c r="AD29" i="1"/>
  <c r="I29" i="1" s="1"/>
  <c r="AD50" i="1"/>
  <c r="I50" i="1" s="1"/>
  <c r="AD51" i="1"/>
  <c r="I51" i="1" s="1"/>
  <c r="AD56" i="1"/>
  <c r="I56" i="1" s="1"/>
  <c r="AD38" i="1"/>
  <c r="I38" i="1" s="1"/>
  <c r="AD40" i="1"/>
  <c r="I40" i="1" s="1"/>
  <c r="AD33" i="1"/>
  <c r="I33" i="1" s="1"/>
  <c r="AD45" i="1"/>
  <c r="I45" i="1" s="1"/>
  <c r="AD42" i="1"/>
  <c r="I42" i="1" s="1"/>
  <c r="AD47" i="1"/>
  <c r="I47" i="1" s="1"/>
  <c r="AD28" i="1"/>
  <c r="I28" i="1" s="1"/>
  <c r="AD49" i="1"/>
  <c r="I49" i="1" s="1"/>
  <c r="AD26" i="1"/>
  <c r="I26" i="1" s="1"/>
  <c r="AD53" i="1"/>
  <c r="I53" i="1" s="1"/>
  <c r="AD31" i="1"/>
  <c r="I31" i="1" s="1"/>
  <c r="AD25" i="1"/>
  <c r="I25" i="1" s="1"/>
  <c r="AD43" i="1"/>
  <c r="I43" i="1" s="1"/>
  <c r="AD55" i="1"/>
  <c r="I55" i="1" s="1"/>
  <c r="AD23" i="1"/>
  <c r="I23" i="1" s="1"/>
  <c r="AD41" i="1"/>
  <c r="I41" i="1" s="1"/>
  <c r="AD36" i="1"/>
  <c r="I36" i="1" s="1"/>
  <c r="AD37" i="1"/>
  <c r="I37" i="1" s="1"/>
  <c r="AD35" i="1"/>
  <c r="I35" i="1" s="1"/>
  <c r="AD24" i="1"/>
  <c r="I24" i="1" s="1"/>
  <c r="AD16" i="1"/>
  <c r="I16" i="1" s="1"/>
  <c r="AD34" i="1"/>
  <c r="I34" i="1" s="1"/>
  <c r="AD32" i="1"/>
  <c r="I32" i="1" s="1"/>
  <c r="AD30" i="1"/>
  <c r="I30" i="1" s="1"/>
  <c r="AD22" i="1"/>
  <c r="I22" i="1" s="1"/>
  <c r="AD27" i="1"/>
  <c r="I27" i="1" s="1"/>
  <c r="AD18" i="1"/>
  <c r="I18" i="1" s="1"/>
  <c r="AD17" i="1"/>
  <c r="I17" i="1" s="1"/>
  <c r="AD20" i="1"/>
  <c r="I20" i="1" s="1"/>
  <c r="AD6" i="1"/>
  <c r="I6" i="1" s="1"/>
  <c r="AD19" i="1"/>
  <c r="I19" i="1" s="1"/>
  <c r="AD9" i="1"/>
  <c r="I9" i="1" s="1"/>
  <c r="AD14" i="1"/>
  <c r="I14" i="1" s="1"/>
  <c r="AD11" i="1"/>
  <c r="I11" i="1" s="1"/>
  <c r="AD21" i="1"/>
  <c r="I21" i="1" s="1"/>
  <c r="AD10" i="1"/>
  <c r="I10" i="1" s="1"/>
  <c r="AD13" i="1"/>
  <c r="I13" i="1" s="1"/>
  <c r="AD15" i="1"/>
  <c r="I15" i="1" s="1"/>
  <c r="AD12" i="1"/>
  <c r="I12" i="1" s="1"/>
  <c r="AD7" i="1"/>
  <c r="I7" i="1" s="1"/>
  <c r="AD8" i="1"/>
  <c r="I8" i="1" s="1"/>
  <c r="AD5" i="1"/>
  <c r="I5" i="1" s="1"/>
  <c r="AD3" i="1"/>
  <c r="I3" i="1" s="1"/>
  <c r="AD4" i="1"/>
  <c r="I4" i="1" s="1"/>
  <c r="AD2" i="1"/>
  <c r="I2" i="1" s="1"/>
  <c r="AC2" i="1"/>
  <c r="G11" i="1"/>
  <c r="G33" i="1"/>
  <c r="G44" i="1"/>
  <c r="G45" i="1"/>
  <c r="G53" i="1"/>
  <c r="G42" i="1"/>
  <c r="G21" i="1"/>
  <c r="G25" i="1"/>
  <c r="G49" i="1"/>
  <c r="G43" i="1"/>
  <c r="G27" i="1"/>
  <c r="G55" i="1"/>
  <c r="G52" i="1"/>
  <c r="G46" i="1"/>
  <c r="G38" i="1"/>
  <c r="G17" i="1"/>
  <c r="G31" i="1"/>
  <c r="G56" i="1"/>
  <c r="G37" i="1"/>
  <c r="G36" i="1"/>
  <c r="G51" i="1"/>
  <c r="G48" i="1"/>
  <c r="G50" i="1"/>
  <c r="G30" i="1"/>
  <c r="G18" i="1"/>
  <c r="G28" i="1"/>
  <c r="G10" i="1"/>
  <c r="G20" i="1"/>
  <c r="G39" i="1"/>
  <c r="G19" i="1"/>
  <c r="G7" i="1"/>
  <c r="G32" i="1"/>
  <c r="G34" i="1"/>
  <c r="G15" i="1"/>
  <c r="G24" i="1"/>
  <c r="G14" i="1"/>
  <c r="G16" i="1"/>
  <c r="G2" i="1"/>
  <c r="G47" i="1"/>
  <c r="G12" i="1"/>
  <c r="G40" i="1"/>
  <c r="G13" i="1"/>
  <c r="G22" i="1"/>
  <c r="G29" i="1"/>
  <c r="G35" i="1"/>
  <c r="G5" i="1"/>
  <c r="G9" i="1"/>
  <c r="G41" i="1"/>
  <c r="G26" i="1"/>
  <c r="G23" i="1"/>
  <c r="G8" i="1"/>
  <c r="G4" i="1"/>
  <c r="G6" i="1"/>
  <c r="G3" i="1"/>
  <c r="AF39" i="1" l="1"/>
  <c r="K39" i="1" s="1"/>
  <c r="AE39" i="1"/>
  <c r="J39" i="1" s="1"/>
  <c r="AC39" i="1"/>
  <c r="H39" i="1" s="1"/>
  <c r="AF46" i="1"/>
  <c r="K46" i="1" s="1"/>
  <c r="AE46" i="1"/>
  <c r="J46" i="1" s="1"/>
  <c r="AC46" i="1"/>
  <c r="H46" i="1" s="1"/>
  <c r="AF52" i="1"/>
  <c r="K52" i="1" s="1"/>
  <c r="AE52" i="1"/>
  <c r="J52" i="1" s="1"/>
  <c r="AC52" i="1"/>
  <c r="H52" i="1" s="1"/>
  <c r="AF44" i="1"/>
  <c r="K44" i="1" s="1"/>
  <c r="AE44" i="1"/>
  <c r="J44" i="1" s="1"/>
  <c r="AC44" i="1"/>
  <c r="H44" i="1" s="1"/>
  <c r="AF48" i="1"/>
  <c r="K48" i="1" s="1"/>
  <c r="AE48" i="1"/>
  <c r="J48" i="1" s="1"/>
  <c r="AC48" i="1"/>
  <c r="H48" i="1" s="1"/>
  <c r="AF29" i="1"/>
  <c r="K29" i="1" s="1"/>
  <c r="AE29" i="1"/>
  <c r="J29" i="1" s="1"/>
  <c r="AC29" i="1"/>
  <c r="H29" i="1" s="1"/>
  <c r="AF50" i="1"/>
  <c r="K50" i="1" s="1"/>
  <c r="AE50" i="1"/>
  <c r="J50" i="1" s="1"/>
  <c r="AC50" i="1"/>
  <c r="H50" i="1" s="1"/>
  <c r="AF51" i="1"/>
  <c r="K51" i="1" s="1"/>
  <c r="AE51" i="1"/>
  <c r="J51" i="1" s="1"/>
  <c r="AC51" i="1"/>
  <c r="H51" i="1" s="1"/>
  <c r="AF56" i="1"/>
  <c r="K56" i="1" s="1"/>
  <c r="AE56" i="1"/>
  <c r="J56" i="1" s="1"/>
  <c r="AC56" i="1"/>
  <c r="H56" i="1" s="1"/>
  <c r="AF38" i="1"/>
  <c r="K38" i="1" s="1"/>
  <c r="AE38" i="1"/>
  <c r="J38" i="1" s="1"/>
  <c r="AC38" i="1"/>
  <c r="H38" i="1" s="1"/>
  <c r="AF40" i="1"/>
  <c r="K40" i="1" s="1"/>
  <c r="AE40" i="1"/>
  <c r="J40" i="1" s="1"/>
  <c r="AC40" i="1"/>
  <c r="H40" i="1" s="1"/>
  <c r="AF33" i="1"/>
  <c r="K33" i="1" s="1"/>
  <c r="AE33" i="1"/>
  <c r="J33" i="1" s="1"/>
  <c r="AC33" i="1"/>
  <c r="H33" i="1" s="1"/>
  <c r="AF45" i="1"/>
  <c r="K45" i="1" s="1"/>
  <c r="AE45" i="1"/>
  <c r="J45" i="1" s="1"/>
  <c r="AC45" i="1"/>
  <c r="H45" i="1" s="1"/>
  <c r="AF42" i="1"/>
  <c r="K42" i="1" s="1"/>
  <c r="AE42" i="1"/>
  <c r="J42" i="1" s="1"/>
  <c r="AC42" i="1"/>
  <c r="H42" i="1" s="1"/>
  <c r="AF47" i="1"/>
  <c r="K47" i="1" s="1"/>
  <c r="AE47" i="1"/>
  <c r="J47" i="1" s="1"/>
  <c r="AC47" i="1"/>
  <c r="H47" i="1" s="1"/>
  <c r="AF28" i="1"/>
  <c r="K28" i="1" s="1"/>
  <c r="AE28" i="1"/>
  <c r="J28" i="1" s="1"/>
  <c r="AC28" i="1"/>
  <c r="H28" i="1" s="1"/>
  <c r="AF49" i="1"/>
  <c r="K49" i="1" s="1"/>
  <c r="AE49" i="1"/>
  <c r="J49" i="1" s="1"/>
  <c r="AC49" i="1"/>
  <c r="H49" i="1" s="1"/>
  <c r="AF26" i="1"/>
  <c r="K26" i="1" s="1"/>
  <c r="AE26" i="1"/>
  <c r="J26" i="1" s="1"/>
  <c r="AC26" i="1"/>
  <c r="H26" i="1" s="1"/>
  <c r="AF53" i="1"/>
  <c r="K53" i="1" s="1"/>
  <c r="AE53" i="1"/>
  <c r="J53" i="1" s="1"/>
  <c r="AC53" i="1"/>
  <c r="H53" i="1" s="1"/>
  <c r="AF31" i="1"/>
  <c r="K31" i="1" s="1"/>
  <c r="AE31" i="1"/>
  <c r="J31" i="1" s="1"/>
  <c r="AC31" i="1"/>
  <c r="H31" i="1" s="1"/>
  <c r="AF25" i="1"/>
  <c r="K25" i="1" s="1"/>
  <c r="AE25" i="1"/>
  <c r="J25" i="1" s="1"/>
  <c r="AC25" i="1"/>
  <c r="H25" i="1" s="1"/>
  <c r="AF43" i="1"/>
  <c r="K43" i="1" s="1"/>
  <c r="AE43" i="1"/>
  <c r="J43" i="1" s="1"/>
  <c r="AC43" i="1"/>
  <c r="H43" i="1" s="1"/>
  <c r="AF55" i="1"/>
  <c r="K55" i="1" s="1"/>
  <c r="AE55" i="1"/>
  <c r="J55" i="1" s="1"/>
  <c r="AC55" i="1"/>
  <c r="H55" i="1" s="1"/>
  <c r="AF23" i="1"/>
  <c r="K23" i="1" s="1"/>
  <c r="AE23" i="1"/>
  <c r="J23" i="1" s="1"/>
  <c r="AC23" i="1"/>
  <c r="H23" i="1" s="1"/>
  <c r="AF41" i="1"/>
  <c r="K41" i="1" s="1"/>
  <c r="AE41" i="1"/>
  <c r="J41" i="1" s="1"/>
  <c r="AC41" i="1"/>
  <c r="H41" i="1" s="1"/>
  <c r="AF36" i="1"/>
  <c r="K36" i="1" s="1"/>
  <c r="AE36" i="1"/>
  <c r="J36" i="1" s="1"/>
  <c r="AC36" i="1"/>
  <c r="H36" i="1" s="1"/>
  <c r="AF37" i="1"/>
  <c r="K37" i="1" s="1"/>
  <c r="AE37" i="1"/>
  <c r="J37" i="1" s="1"/>
  <c r="AC37" i="1"/>
  <c r="H37" i="1" s="1"/>
  <c r="AF35" i="1"/>
  <c r="K35" i="1" s="1"/>
  <c r="AE35" i="1"/>
  <c r="J35" i="1" s="1"/>
  <c r="AC35" i="1"/>
  <c r="H35" i="1" s="1"/>
  <c r="AF24" i="1"/>
  <c r="K24" i="1" s="1"/>
  <c r="AE24" i="1"/>
  <c r="J24" i="1" s="1"/>
  <c r="AC24" i="1"/>
  <c r="H24" i="1" s="1"/>
  <c r="AF16" i="1"/>
  <c r="K16" i="1" s="1"/>
  <c r="AE16" i="1"/>
  <c r="J16" i="1" s="1"/>
  <c r="AC16" i="1"/>
  <c r="H16" i="1" s="1"/>
  <c r="AF34" i="1"/>
  <c r="K34" i="1" s="1"/>
  <c r="AE34" i="1"/>
  <c r="J34" i="1" s="1"/>
  <c r="AC34" i="1"/>
  <c r="H34" i="1" s="1"/>
  <c r="AF32" i="1"/>
  <c r="K32" i="1" s="1"/>
  <c r="AE32" i="1"/>
  <c r="J32" i="1" s="1"/>
  <c r="AC32" i="1"/>
  <c r="H32" i="1" s="1"/>
  <c r="AF30" i="1"/>
  <c r="K30" i="1" s="1"/>
  <c r="AE30" i="1"/>
  <c r="J30" i="1" s="1"/>
  <c r="AC30" i="1"/>
  <c r="H30" i="1" s="1"/>
  <c r="AF22" i="1"/>
  <c r="K22" i="1" s="1"/>
  <c r="AE22" i="1"/>
  <c r="J22" i="1" s="1"/>
  <c r="AC22" i="1"/>
  <c r="H22" i="1" s="1"/>
  <c r="AF27" i="1"/>
  <c r="K27" i="1" s="1"/>
  <c r="AE27" i="1"/>
  <c r="J27" i="1" s="1"/>
  <c r="AC27" i="1"/>
  <c r="H27" i="1" s="1"/>
  <c r="AF18" i="1"/>
  <c r="K18" i="1" s="1"/>
  <c r="AE18" i="1"/>
  <c r="J18" i="1" s="1"/>
  <c r="AC18" i="1"/>
  <c r="H18" i="1" s="1"/>
  <c r="AF17" i="1"/>
  <c r="K17" i="1" s="1"/>
  <c r="AE17" i="1"/>
  <c r="J17" i="1" s="1"/>
  <c r="AC17" i="1"/>
  <c r="H17" i="1" s="1"/>
  <c r="AF20" i="1"/>
  <c r="K20" i="1" s="1"/>
  <c r="AE20" i="1"/>
  <c r="J20" i="1" s="1"/>
  <c r="AC20" i="1"/>
  <c r="H20" i="1" s="1"/>
  <c r="AF6" i="1"/>
  <c r="K6" i="1" s="1"/>
  <c r="AE6" i="1"/>
  <c r="J6" i="1" s="1"/>
  <c r="AC6" i="1"/>
  <c r="H6" i="1" s="1"/>
  <c r="AF19" i="1"/>
  <c r="K19" i="1" s="1"/>
  <c r="AE19" i="1"/>
  <c r="J19" i="1" s="1"/>
  <c r="AC19" i="1"/>
  <c r="H19" i="1" s="1"/>
  <c r="AF9" i="1"/>
  <c r="K9" i="1" s="1"/>
  <c r="AE9" i="1"/>
  <c r="J9" i="1" s="1"/>
  <c r="AC9" i="1"/>
  <c r="H9" i="1" s="1"/>
  <c r="AF14" i="1"/>
  <c r="K14" i="1" s="1"/>
  <c r="AE14" i="1"/>
  <c r="J14" i="1" s="1"/>
  <c r="AC14" i="1"/>
  <c r="H14" i="1" s="1"/>
  <c r="AF11" i="1"/>
  <c r="K11" i="1" s="1"/>
  <c r="AE11" i="1"/>
  <c r="J11" i="1" s="1"/>
  <c r="AC11" i="1"/>
  <c r="H11" i="1" s="1"/>
  <c r="AF21" i="1"/>
  <c r="K21" i="1" s="1"/>
  <c r="AE21" i="1"/>
  <c r="J21" i="1" s="1"/>
  <c r="AC21" i="1"/>
  <c r="H21" i="1" s="1"/>
  <c r="AF10" i="1"/>
  <c r="K10" i="1" s="1"/>
  <c r="AE10" i="1"/>
  <c r="J10" i="1" s="1"/>
  <c r="AC10" i="1"/>
  <c r="H10" i="1" s="1"/>
  <c r="AF13" i="1"/>
  <c r="K13" i="1" s="1"/>
  <c r="AE13" i="1"/>
  <c r="J13" i="1" s="1"/>
  <c r="AC13" i="1"/>
  <c r="H13" i="1" s="1"/>
  <c r="AF15" i="1"/>
  <c r="K15" i="1" s="1"/>
  <c r="AE15" i="1"/>
  <c r="J15" i="1" s="1"/>
  <c r="AC15" i="1"/>
  <c r="H15" i="1" s="1"/>
  <c r="AF7" i="1"/>
  <c r="K7" i="1" s="1"/>
  <c r="AE7" i="1"/>
  <c r="J7" i="1" s="1"/>
  <c r="AC7" i="1"/>
  <c r="H7" i="1" s="1"/>
  <c r="AF5" i="1"/>
  <c r="K5" i="1" s="1"/>
  <c r="AE5" i="1"/>
  <c r="J5" i="1" s="1"/>
  <c r="AC5" i="1"/>
  <c r="H5" i="1" s="1"/>
  <c r="AF2" i="1"/>
  <c r="K2" i="1" s="1"/>
  <c r="AE2" i="1"/>
  <c r="J2" i="1" s="1"/>
  <c r="H2" i="1"/>
  <c r="AF12" i="1"/>
  <c r="K12" i="1" s="1"/>
  <c r="AE12" i="1"/>
  <c r="J12" i="1" s="1"/>
  <c r="AC12" i="1"/>
  <c r="H12" i="1" s="1"/>
  <c r="AF3" i="1"/>
  <c r="K3" i="1" s="1"/>
  <c r="AE3" i="1"/>
  <c r="J3" i="1" s="1"/>
  <c r="AC3" i="1"/>
  <c r="H3" i="1" s="1"/>
  <c r="AF4" i="1"/>
  <c r="K4" i="1" s="1"/>
  <c r="AE4" i="1"/>
  <c r="J4" i="1" s="1"/>
  <c r="AC4" i="1"/>
  <c r="H4" i="1" s="1"/>
  <c r="AF8" i="1"/>
  <c r="K8" i="1" s="1"/>
  <c r="AE8" i="1"/>
  <c r="J8" i="1" s="1"/>
  <c r="AC8" i="1"/>
  <c r="H8" i="1" s="1"/>
  <c r="M52" i="1" l="1"/>
  <c r="M39" i="1"/>
  <c r="M46" i="1"/>
  <c r="M44" i="1"/>
  <c r="L46" i="1"/>
  <c r="L44" i="1"/>
  <c r="L39" i="1"/>
  <c r="L52" i="1"/>
  <c r="M48" i="1"/>
  <c r="M3" i="1"/>
  <c r="M21" i="1"/>
  <c r="M18" i="1"/>
  <c r="M35" i="1"/>
  <c r="M31" i="1"/>
  <c r="M33" i="1"/>
  <c r="M29" i="1"/>
  <c r="M17" i="1"/>
  <c r="M45" i="1"/>
  <c r="M8" i="1"/>
  <c r="M12" i="1"/>
  <c r="M11" i="1"/>
  <c r="M27" i="1"/>
  <c r="M37" i="1"/>
  <c r="M53" i="1"/>
  <c r="M40" i="1"/>
  <c r="M4" i="1"/>
  <c r="M10" i="1"/>
  <c r="M24" i="1"/>
  <c r="M25" i="1"/>
  <c r="M2" i="1"/>
  <c r="M14" i="1"/>
  <c r="M22" i="1"/>
  <c r="M36" i="1"/>
  <c r="M26" i="1"/>
  <c r="M38" i="1"/>
  <c r="M43" i="1"/>
  <c r="M42" i="1"/>
  <c r="M13" i="1"/>
  <c r="M20" i="1"/>
  <c r="M16" i="1"/>
  <c r="M7" i="1"/>
  <c r="M19" i="1"/>
  <c r="M32" i="1"/>
  <c r="M23" i="1"/>
  <c r="M28" i="1"/>
  <c r="M51" i="1"/>
  <c r="M15" i="1"/>
  <c r="M6" i="1"/>
  <c r="M34" i="1"/>
  <c r="M55" i="1"/>
  <c r="M47" i="1"/>
  <c r="M50" i="1"/>
  <c r="M5" i="1"/>
  <c r="M9" i="1"/>
  <c r="M30" i="1"/>
  <c r="M41" i="1"/>
  <c r="M49" i="1"/>
  <c r="M56" i="1"/>
  <c r="L5" i="1"/>
  <c r="L9" i="1"/>
  <c r="L30" i="1"/>
  <c r="L41" i="1"/>
  <c r="L49" i="1"/>
  <c r="L56" i="1"/>
  <c r="L7" i="1"/>
  <c r="L19" i="1"/>
  <c r="L32" i="1"/>
  <c r="L23" i="1"/>
  <c r="L28" i="1"/>
  <c r="L51" i="1"/>
  <c r="L15" i="1"/>
  <c r="L6" i="1"/>
  <c r="L34" i="1"/>
  <c r="L55" i="1"/>
  <c r="L47" i="1"/>
  <c r="L50" i="1"/>
  <c r="L13" i="1"/>
  <c r="L20" i="1"/>
  <c r="L16" i="1"/>
  <c r="L43" i="1"/>
  <c r="L42" i="1"/>
  <c r="L29" i="1"/>
  <c r="L8" i="1"/>
  <c r="L12" i="1"/>
  <c r="L11" i="1"/>
  <c r="L27" i="1"/>
  <c r="L37" i="1"/>
  <c r="L53" i="1"/>
  <c r="L40" i="1"/>
  <c r="L10" i="1"/>
  <c r="L17" i="1"/>
  <c r="L24" i="1"/>
  <c r="L25" i="1"/>
  <c r="L45" i="1"/>
  <c r="L48" i="1"/>
  <c r="L4" i="1"/>
  <c r="L2" i="1"/>
  <c r="L14" i="1"/>
  <c r="L22" i="1"/>
  <c r="L36" i="1"/>
  <c r="L26" i="1"/>
  <c r="L38" i="1"/>
  <c r="L3" i="1"/>
  <c r="L21" i="1"/>
  <c r="L18" i="1"/>
  <c r="L35" i="1"/>
  <c r="L31" i="1"/>
  <c r="L33" i="1"/>
  <c r="T2" i="1" l="1"/>
  <c r="F7" i="4" s="1"/>
  <c r="AG2" i="1" l="1"/>
  <c r="T3" i="1"/>
  <c r="F4" i="4" s="1"/>
  <c r="T4" i="1" l="1"/>
  <c r="AG3" i="1" l="1"/>
  <c r="F2" i="4"/>
  <c r="T5" i="1"/>
  <c r="F3" i="4" s="1"/>
  <c r="AG4" i="1" l="1"/>
  <c r="AG5" i="1" s="1"/>
  <c r="T6" i="1"/>
  <c r="T7" i="1" l="1"/>
  <c r="F12" i="4" s="1"/>
  <c r="F5" i="4"/>
  <c r="T8" i="1"/>
  <c r="AG6" i="1"/>
  <c r="AG7" i="1" s="1"/>
  <c r="AG8" i="1" l="1"/>
  <c r="T9" i="1"/>
  <c r="F8" i="4"/>
  <c r="T10" i="1" l="1"/>
  <c r="F14" i="4"/>
  <c r="AG9" i="1"/>
  <c r="AG10" i="1" l="1"/>
  <c r="T11" i="1"/>
  <c r="F13" i="4"/>
  <c r="T12" i="1" l="1"/>
  <c r="F18" i="4"/>
  <c r="AG11" i="1"/>
  <c r="AG12" i="1" l="1"/>
  <c r="T13" i="1"/>
  <c r="F10" i="4"/>
  <c r="AG13" i="1" l="1"/>
  <c r="T14" i="1"/>
  <c r="F6" i="4"/>
  <c r="T15" i="1" l="1"/>
  <c r="AG14" i="1" s="1"/>
  <c r="F22" i="4"/>
  <c r="T16" i="1" l="1"/>
  <c r="F32" i="4"/>
  <c r="AG15" i="1"/>
  <c r="AG16" i="1" l="1"/>
  <c r="T17" i="1"/>
  <c r="F19" i="4"/>
  <c r="T18" i="1" l="1"/>
  <c r="F20" i="4"/>
  <c r="AG17" i="1"/>
  <c r="AG18" i="1" l="1"/>
  <c r="F15" i="4"/>
  <c r="T19" i="1"/>
  <c r="T20" i="1" l="1"/>
  <c r="F16" i="4"/>
  <c r="AG19" i="1"/>
  <c r="AG20" i="1" l="1"/>
  <c r="T21" i="1"/>
  <c r="F11" i="4"/>
  <c r="T22" i="1" l="1"/>
  <c r="F9" i="4"/>
  <c r="AG21" i="1"/>
  <c r="AG22" i="1" l="1"/>
  <c r="T23" i="1"/>
  <c r="F25" i="4"/>
  <c r="T24" i="1" l="1"/>
  <c r="F35" i="4"/>
  <c r="AG23" i="1"/>
  <c r="AG24" i="1" l="1"/>
  <c r="AG25" i="1" s="1"/>
  <c r="T25" i="1"/>
  <c r="T26" i="1" s="1"/>
  <c r="F29" i="4"/>
  <c r="F44" i="4" l="1"/>
  <c r="T27" i="1"/>
  <c r="AG26" i="1"/>
  <c r="AG27" i="1" l="1"/>
  <c r="T28" i="1"/>
  <c r="F31" i="4"/>
  <c r="F42" i="4" l="1"/>
  <c r="T29" i="1"/>
  <c r="AG28" i="1"/>
  <c r="AG29" i="1" l="1"/>
  <c r="T30" i="1"/>
  <c r="F33" i="4"/>
  <c r="T31" i="1" l="1"/>
  <c r="F41" i="4"/>
  <c r="AG30" i="1"/>
  <c r="AG31" i="1" l="1"/>
  <c r="T32" i="1"/>
  <c r="F59" i="4"/>
  <c r="T33" i="1" l="1"/>
  <c r="F24" i="4"/>
  <c r="AG32" i="1"/>
  <c r="AG33" i="1" l="1"/>
  <c r="T34" i="1"/>
  <c r="F57" i="4"/>
  <c r="T35" i="1" l="1"/>
  <c r="F21" i="4"/>
  <c r="AG34" i="1"/>
  <c r="AG35" i="1" l="1"/>
  <c r="AG36" i="1" s="1"/>
  <c r="T36" i="1"/>
  <c r="T37" i="1" s="1"/>
  <c r="F49" i="4"/>
  <c r="T38" i="1" l="1"/>
  <c r="F50" i="4"/>
  <c r="AG37" i="1"/>
  <c r="AG38" i="1" l="1"/>
  <c r="T39" i="1"/>
  <c r="F36" i="4"/>
  <c r="T40" i="1" l="1"/>
  <c r="F58" i="4"/>
  <c r="AG39" i="1"/>
  <c r="AG40" i="1" l="1"/>
  <c r="T41" i="1"/>
  <c r="F23" i="4"/>
  <c r="T42" i="1" l="1"/>
  <c r="F17" i="4"/>
  <c r="AG41" i="1"/>
  <c r="AG42" i="1" l="1"/>
  <c r="T43" i="1"/>
  <c r="F54" i="4"/>
  <c r="F30" i="4" l="1"/>
  <c r="T44" i="1"/>
  <c r="AG43" i="1"/>
  <c r="AG44" i="1" l="1"/>
  <c r="T45" i="1"/>
  <c r="F51" i="4"/>
  <c r="T46" i="1" l="1"/>
  <c r="F27" i="4"/>
  <c r="AG45" i="1"/>
  <c r="AG46" i="1" l="1"/>
  <c r="T47" i="1"/>
  <c r="F46" i="4"/>
  <c r="T48" i="1" l="1"/>
  <c r="F48" i="4"/>
  <c r="AG47" i="1"/>
  <c r="AG48" i="1" l="1"/>
  <c r="F28" i="4"/>
  <c r="T49" i="1"/>
  <c r="T50" i="1" l="1"/>
  <c r="F40" i="4"/>
  <c r="AG49" i="1"/>
  <c r="AG50" i="1" l="1"/>
  <c r="T51" i="1"/>
  <c r="F34" i="4"/>
  <c r="T52" i="1" l="1"/>
  <c r="F55" i="4"/>
  <c r="AG51" i="1"/>
  <c r="AG52" i="1" l="1"/>
  <c r="T53" i="1"/>
  <c r="F60" i="4"/>
  <c r="T54" i="1" l="1"/>
  <c r="T55" i="1" s="1"/>
  <c r="T56" i="1" s="1"/>
  <c r="F26" i="4" s="1"/>
  <c r="F37" i="4"/>
  <c r="AG53" i="1"/>
  <c r="AG54" i="1" s="1"/>
  <c r="AG55" i="1" s="1"/>
  <c r="AG56" i="1" s="1"/>
</calcChain>
</file>

<file path=xl/sharedStrings.xml><?xml version="1.0" encoding="utf-8"?>
<sst xmlns="http://schemas.openxmlformats.org/spreadsheetml/2006/main" count="899" uniqueCount="454">
  <si>
    <t>wingspan</t>
  </si>
  <si>
    <t>height</t>
  </si>
  <si>
    <t>height (in)</t>
  </si>
  <si>
    <t>wingspan (in)</t>
  </si>
  <si>
    <t>reach</t>
  </si>
  <si>
    <t>reach (in)</t>
  </si>
  <si>
    <t>Ape</t>
  </si>
  <si>
    <t>grade</t>
  </si>
  <si>
    <t>Devon Dotson</t>
  </si>
  <si>
    <t>Jordan Nwora</t>
  </si>
  <si>
    <t>Reggie Perry</t>
  </si>
  <si>
    <t>Killian Tillie</t>
  </si>
  <si>
    <t>name</t>
  </si>
  <si>
    <t>Dean</t>
  </si>
  <si>
    <t>zamir</t>
  </si>
  <si>
    <t>espn</t>
  </si>
  <si>
    <t>me</t>
  </si>
  <si>
    <t>position</t>
  </si>
  <si>
    <t>C</t>
  </si>
  <si>
    <t>PF</t>
  </si>
  <si>
    <t>SF</t>
  </si>
  <si>
    <t>PG</t>
  </si>
  <si>
    <t>SG</t>
  </si>
  <si>
    <t>school</t>
  </si>
  <si>
    <t>Oregon</t>
  </si>
  <si>
    <t>Gonzaga</t>
  </si>
  <si>
    <t>age</t>
  </si>
  <si>
    <t>Grade</t>
  </si>
  <si>
    <t>Freshman</t>
  </si>
  <si>
    <t>birthday</t>
  </si>
  <si>
    <t>Maryland</t>
  </si>
  <si>
    <t>Kentucky</t>
  </si>
  <si>
    <t>Duke</t>
  </si>
  <si>
    <t>North Carolina</t>
  </si>
  <si>
    <t>Auburn</t>
  </si>
  <si>
    <t>Arkansas</t>
  </si>
  <si>
    <t>Vanderbilt</t>
  </si>
  <si>
    <t>Georgia</t>
  </si>
  <si>
    <t>Texas Tech</t>
  </si>
  <si>
    <t>USC</t>
  </si>
  <si>
    <t>Stanford</t>
  </si>
  <si>
    <t>Washington</t>
  </si>
  <si>
    <t>Florida State</t>
  </si>
  <si>
    <t>Iowa State</t>
  </si>
  <si>
    <t>Sophomore</t>
  </si>
  <si>
    <t>Junior</t>
  </si>
  <si>
    <t>Senior</t>
  </si>
  <si>
    <t>POS</t>
  </si>
  <si>
    <t>BODY FAT %</t>
  </si>
  <si>
    <t>HAND LENGTH (INCHES)</t>
  </si>
  <si>
    <t>HAND WIDTH (INCHES)</t>
  </si>
  <si>
    <t>HEIGHT W/O SHOES</t>
  </si>
  <si>
    <t>HEIGHT W/ SHOES</t>
  </si>
  <si>
    <t>STANDING REACH</t>
  </si>
  <si>
    <t>WEIGHT (LBS)</t>
  </si>
  <si>
    <t>WINGSPAN</t>
  </si>
  <si>
    <t>-</t>
  </si>
  <si>
    <t>Killian Hayes</t>
  </si>
  <si>
    <t>G</t>
  </si>
  <si>
    <t>nba_link</t>
  </si>
  <si>
    <t>ref_link</t>
  </si>
  <si>
    <t>https://www.basketball-reference.com/international/players/killian-hayes-1.html</t>
  </si>
  <si>
    <t>Ratiopharm (Germany)</t>
  </si>
  <si>
    <t>6'5</t>
  </si>
  <si>
    <t>6'8.25</t>
  </si>
  <si>
    <t>https://www.nba.com/draft/2020/prospects/killian-hayes#/</t>
  </si>
  <si>
    <t>ringer</t>
  </si>
  <si>
    <t>Anthony Edwards</t>
  </si>
  <si>
    <t>6'9</t>
  </si>
  <si>
    <t>PLAYER (https://nbadraft.theringer.com/)</t>
  </si>
  <si>
    <t>LaMelo Ball</t>
  </si>
  <si>
    <t>6'7</t>
  </si>
  <si>
    <t>6'10</t>
  </si>
  <si>
    <t>Deni Avdija</t>
  </si>
  <si>
    <t>W</t>
  </si>
  <si>
    <t>Onyeka Okongwu</t>
  </si>
  <si>
    <t>B</t>
  </si>
  <si>
    <t>7'1</t>
  </si>
  <si>
    <t>James Wiseman</t>
  </si>
  <si>
    <t>7'6</t>
  </si>
  <si>
    <t>Devin Vassell</t>
  </si>
  <si>
    <t>Tyrell Terry</t>
  </si>
  <si>
    <t>6'2</t>
  </si>
  <si>
    <t>Isaac Okoro</t>
  </si>
  <si>
    <t>6'6</t>
  </si>
  <si>
    <t>Tyrese Haliburton</t>
  </si>
  <si>
    <t>6'8</t>
  </si>
  <si>
    <t>Obi Toppin</t>
  </si>
  <si>
    <t>6'11</t>
  </si>
  <si>
    <t>Aleksej Pokusevski</t>
  </si>
  <si>
    <t>7'0</t>
  </si>
  <si>
    <t>7'3</t>
  </si>
  <si>
    <t>Tyrese Maxey</t>
  </si>
  <si>
    <t>6'3</t>
  </si>
  <si>
    <t>Kira Lewis Jr.</t>
  </si>
  <si>
    <t>Cole Anthony</t>
  </si>
  <si>
    <t>6'4.5</t>
  </si>
  <si>
    <t>Patrick Williams</t>
  </si>
  <si>
    <t>Jalen Smith</t>
  </si>
  <si>
    <t>7'1.5</t>
  </si>
  <si>
    <t>Saddiq Bey</t>
  </si>
  <si>
    <t>Aaron Nesmith</t>
  </si>
  <si>
    <t>Desmond Bane</t>
  </si>
  <si>
    <t>R.J. Hampton</t>
  </si>
  <si>
    <t>Robert Woodard II</t>
  </si>
  <si>
    <t>Leandro Bolmaro</t>
  </si>
  <si>
    <t>Precious Achiuwa</t>
  </si>
  <si>
    <t>7'2</t>
  </si>
  <si>
    <t>Josh Green</t>
  </si>
  <si>
    <t>6'10.25</t>
  </si>
  <si>
    <t>Jaden McDaniels</t>
  </si>
  <si>
    <t>6'11.5</t>
  </si>
  <si>
    <t>Nico Mannion</t>
  </si>
  <si>
    <t>6'2.5</t>
  </si>
  <si>
    <t>Isaiah Joe</t>
  </si>
  <si>
    <t>6'3.25</t>
  </si>
  <si>
    <t>Isaiah Stewart</t>
  </si>
  <si>
    <t>7'4</t>
  </si>
  <si>
    <t>Theo Maledon</t>
  </si>
  <si>
    <t>6'4</t>
  </si>
  <si>
    <t>6'8.5</t>
  </si>
  <si>
    <t>Malachi Flynn</t>
  </si>
  <si>
    <t>6'1</t>
  </si>
  <si>
    <t>Paul Reed</t>
  </si>
  <si>
    <t>Tyler Bey</t>
  </si>
  <si>
    <t>Jahmi'us Ramsey</t>
  </si>
  <si>
    <t>Elijah Hughes</t>
  </si>
  <si>
    <t>Tre Jones</t>
  </si>
  <si>
    <t>Yam Madar</t>
  </si>
  <si>
    <t>Cassius Winston</t>
  </si>
  <si>
    <t>6'5.25</t>
  </si>
  <si>
    <t>Payton Pritchard</t>
  </si>
  <si>
    <t>Grant Riller</t>
  </si>
  <si>
    <t>Zeke Nnaji</t>
  </si>
  <si>
    <t>Xavier Tillman Sr.</t>
  </si>
  <si>
    <t>Immanuel Quickley</t>
  </si>
  <si>
    <t>Cassius Stanley</t>
  </si>
  <si>
    <t>Daniel Oturu</t>
  </si>
  <si>
    <t>Vernon Carey Jr.</t>
  </si>
  <si>
    <t>Udoka Azubuike</t>
  </si>
  <si>
    <t>7'7</t>
  </si>
  <si>
    <t>https://www.sports-reference.com/cbb/players/anthony-edwards-2.html</t>
  </si>
  <si>
    <t>Illawarra Hawks (Australia)</t>
  </si>
  <si>
    <t>https://www.nba.com/draft/2020/prospects/lamelo-ball#/</t>
  </si>
  <si>
    <t>https://www.basketball-reference.com/international/players/lamelo-ball-1.html</t>
  </si>
  <si>
    <t>https://www.basketball-reference.com/international/players/deni-avdija-1.html</t>
  </si>
  <si>
    <t>Maccabi Tel Aviv (Israel)</t>
  </si>
  <si>
    <t>https://www.nba.com/draft/2020/prospects/onyeka-okongwu#/</t>
  </si>
  <si>
    <t>https://www.sports-reference.com/cbb/players/onyeka-okongwu-1.html</t>
  </si>
  <si>
    <t>++</t>
  </si>
  <si>
    <t>+</t>
  </si>
  <si>
    <t>--</t>
  </si>
  <si>
    <t>https://www.nba.com/draft/2020/prospects/james-wiseman#/</t>
  </si>
  <si>
    <t>Memphis</t>
  </si>
  <si>
    <t>https://www.sports-reference.com/cbb/players/james-wiseman-1.html</t>
  </si>
  <si>
    <t>https://www.sports-reference.com/cbb/players/devin-vassell-1.html</t>
  </si>
  <si>
    <t>https://www.sports-reference.com/cbb/players/tyrell-terry-1.html</t>
  </si>
  <si>
    <t>https://www.sports-reference.com/cbb/players/isaac-okoro-1.html</t>
  </si>
  <si>
    <t>https://www.sports-reference.com/cbb/players/tyrese-haliburton-1.html</t>
  </si>
  <si>
    <t>https://www.sports-reference.com/cbb/players/obadiah-toppin-1.html</t>
  </si>
  <si>
    <t>Dayton</t>
  </si>
  <si>
    <t>https://www.basketball-reference.com/international/players/aleksej-pokusevski-1.html</t>
  </si>
  <si>
    <t>https://www.nba.com/draft/2020/prospects/aleksej-pokusevski#/</t>
  </si>
  <si>
    <t xml:space="preserve">Olympiacos B (Greece A2) </t>
  </si>
  <si>
    <t>https://www.sports-reference.com/cbb/players/tyrese-maxey-1.html</t>
  </si>
  <si>
    <t>https://www.nba.com/draft/2020/prospects/kira-lewis#/</t>
  </si>
  <si>
    <t>https://www.sports-reference.com/cbb/players/kira-lewisjr-1.html</t>
  </si>
  <si>
    <t>Alabama</t>
  </si>
  <si>
    <t>https://www.sports-reference.com/cbb/players/cole-anthony-1.html</t>
  </si>
  <si>
    <t>https://www.nba.com/draft/2020/prospects/cole-anthony#/</t>
  </si>
  <si>
    <t>https://www.sports-reference.com/cbb/players/patrick-williams-2.html</t>
  </si>
  <si>
    <t>https://www.nba.com/draft/2020/prospects/patrick-williams#/</t>
  </si>
  <si>
    <t>https://www.sports-reference.com/cbb/players/jalen-smith-1.html</t>
  </si>
  <si>
    <t>Villanova</t>
  </si>
  <si>
    <t>https://www.sports-reference.com/cbb/players/saddiq-bey-1.html</t>
  </si>
  <si>
    <t>https://www.nba.com/draft/2020/prospects/aaron-nesmith#/</t>
  </si>
  <si>
    <t>https://www.sports-reference.com/cbb/players/aaron-nesmith-1.html</t>
  </si>
  <si>
    <t>TCU</t>
  </si>
  <si>
    <t>https://www.nba.com/draft/2020/prospects/desmond-bane#/</t>
  </si>
  <si>
    <t>https://www.sports-reference.com/cbb/players/desmond-bane-1.html</t>
  </si>
  <si>
    <t>https://www.basketball-reference.com/international/players/rj-hampton-1.html</t>
  </si>
  <si>
    <t>https://www.nba.com/draft/2020/prospects/rj-hampton#/</t>
  </si>
  <si>
    <t>New Zealand Breakers (New Zealand)</t>
  </si>
  <si>
    <t>https://www.sports-reference.com/cbb/players/robert-woodard-2.html</t>
  </si>
  <si>
    <t>https://www.nba.com/draft/2020/prospects/robert-woodard#/</t>
  </si>
  <si>
    <t>Mississippi State</t>
  </si>
  <si>
    <t>https://www.nba.com/draft/2020/prospects/leandro-bolmaro#/</t>
  </si>
  <si>
    <t>https://www.basketball-reference.com/international/players/leandro-bolmaro-1.html</t>
  </si>
  <si>
    <t>FC Barcelona (Spain)</t>
  </si>
  <si>
    <t>https://www.sports-reference.com/cbb/players/precious-achiuwa-1.html</t>
  </si>
  <si>
    <t>https://www.nba.com/draft/2020/prospects/precious-achiuwa#/</t>
  </si>
  <si>
    <t>https://www.sports-reference.com/cbb/players/josh-green-2.html</t>
  </si>
  <si>
    <t>https://www.nba.com/draft/2020/prospects/josh-green#/</t>
  </si>
  <si>
    <t>Arizona</t>
  </si>
  <si>
    <t>https://www.sports-reference.com/cbb/players/jaden-mcdaniels-1.html</t>
  </si>
  <si>
    <t>https://www.nba.com/draft/2020/prospects/jaden-mcdaniels#/</t>
  </si>
  <si>
    <t>https://www.sports-reference.com/cbb/players/nico-mannion-1.html</t>
  </si>
  <si>
    <t>https://www.nba.com/draft/2020/prospects/nico-mannion#/</t>
  </si>
  <si>
    <t>https://www.sports-reference.com/cbb/players/isaiah-joe-1.html</t>
  </si>
  <si>
    <t>https://www.sports-reference.com/cbb/players/devon-dotson-1.html</t>
  </si>
  <si>
    <t>https://www.nba.com/draft/2020/prospects/devon-dotson#/</t>
  </si>
  <si>
    <t>Kansas</t>
  </si>
  <si>
    <t>https://www.sports-reference.com/cbb/players/isaiah-stewart-2.html</t>
  </si>
  <si>
    <t>https://www.nba.com/draft/2020/prospects/isaiah-stewart#/</t>
  </si>
  <si>
    <t>https://www.basketball-reference.com/international/players/theo-maledon-1.html</t>
  </si>
  <si>
    <t>https://www.nba.com/draft/2020/prospects/theo-maledon#/</t>
  </si>
  <si>
    <t>ASVEL (France)</t>
  </si>
  <si>
    <t>Ty-Shon Alexander</t>
  </si>
  <si>
    <t>https://www.sports-reference.com/cbb/players/ty-shon-alexander-1.html</t>
  </si>
  <si>
    <t>https://www.nba.com/draft/2020/prospects/ty-shon-alexander#/</t>
  </si>
  <si>
    <t>Creighton</t>
  </si>
  <si>
    <t>https://www.sports-reference.com/cbb/players/malachi-flynn-1.html</t>
  </si>
  <si>
    <t>https://www.nba.com/draft/2020/prospects/malachi-flynn#/</t>
  </si>
  <si>
    <t>San Diego State</t>
  </si>
  <si>
    <t>https://www.sports-reference.com/cbb/players/killian-tillie-1.html</t>
  </si>
  <si>
    <t>https://www.nba.com/draft/2020/prospects/killian-tillie#/</t>
  </si>
  <si>
    <t>https://www.sports-reference.com/cbb/players/paul-reed-5.html</t>
  </si>
  <si>
    <t>https://www.nba.com/draft/2020/prospects/paul-reed#/</t>
  </si>
  <si>
    <t>DePaul</t>
  </si>
  <si>
    <t>https://www.sports-reference.com/cbb/players/tyler-bey-1.html</t>
  </si>
  <si>
    <t>https://www.nba.com/draft/2020/prospects/tyler-bey#/</t>
  </si>
  <si>
    <t>Colorado</t>
  </si>
  <si>
    <t>https://www.sports-reference.com/cbb/players/jahmius-ramsey-1.html</t>
  </si>
  <si>
    <t>https://www.nba.com/draft/2020/prospects/jahmius-ramsey#/</t>
  </si>
  <si>
    <t>https://www.sports-reference.com/cbb/players/elijah-hughes-1.html</t>
  </si>
  <si>
    <t>https://www.nba.com/draft/2020/prospects/elijah-hughes#/</t>
  </si>
  <si>
    <t>Syracuse</t>
  </si>
  <si>
    <t>https://www.sports-reference.com/cbb/players/tre-jones-1.html</t>
  </si>
  <si>
    <t>https://www.nba.com/draft/2020/prospects/tre-jones#/</t>
  </si>
  <si>
    <t>https://www.basketball-reference.com/international/players/yam-madar-1.html</t>
  </si>
  <si>
    <t>https://www.nba.com/draft/2020/prospects/yam-madar#/</t>
  </si>
  <si>
    <t>Hapoel Tel Aviv (Israel)</t>
  </si>
  <si>
    <t>https://www.sports-reference.com/cbb/players/cassius-winston-1.html</t>
  </si>
  <si>
    <t>https://www.nba.com/draft/2020/prospects/cassius-winston#/</t>
  </si>
  <si>
    <t>Michigan State</t>
  </si>
  <si>
    <t>https://www.sports-reference.com/cbb/players/payton-pritchard-1.html</t>
  </si>
  <si>
    <t>https://www.nba.com/draft/2020/prospects/payton-pritchard#/</t>
  </si>
  <si>
    <t>https://www.sports-reference.com/cbb/players/grant-riller-1.html</t>
  </si>
  <si>
    <t>https://www.nba.com/draft/2020/prospects/grant-riller#/</t>
  </si>
  <si>
    <t>College of Charleston</t>
  </si>
  <si>
    <t>https://www.sports-reference.com/cbb/players/zeke-nnaji-1.html</t>
  </si>
  <si>
    <t>https://www.nba.com/draft/2020/prospects/zeke-nnaji#/</t>
  </si>
  <si>
    <t>https://www.sports-reference.com/cbb/players/xavier-tillman-1.html</t>
  </si>
  <si>
    <t>https://www.nba.com/draft/2020/prospects/xavier-tillman#/</t>
  </si>
  <si>
    <t>https://www.sports-reference.com/cbb/players/immanuel-quickley-1.html</t>
  </si>
  <si>
    <t>https://www.nba.com/draft/2020/prospects/immanuel-quickley#/</t>
  </si>
  <si>
    <t>https://www.sports-reference.com/cbb/players/cassius-stanley-1.html</t>
  </si>
  <si>
    <t>https://www.nba.com/draft/2020/prospects/cassius-stanley#/</t>
  </si>
  <si>
    <t>https://www.sports-reference.com/cbb/players/daniel-oturu-1.html</t>
  </si>
  <si>
    <t>https://www.nba.com/draft/2020/prospects/daniel-oturu#/</t>
  </si>
  <si>
    <t>Minnesota</t>
  </si>
  <si>
    <t>https://www.sports-reference.com/cbb/players/vernon-careyjr-1.html</t>
  </si>
  <si>
    <t>https://www.nba.com/draft/2020/prospects/vernon-carey#/</t>
  </si>
  <si>
    <t>https://www.sports-reference.com/cbb/players/udoka-azubuike-1.html</t>
  </si>
  <si>
    <t>https://www.nba.com/draft/2020/prospects/udoka-azubuike#/</t>
  </si>
  <si>
    <t>Skylar Mays</t>
  </si>
  <si>
    <t>Jalen Harris</t>
  </si>
  <si>
    <t>Nevada</t>
  </si>
  <si>
    <t>https://www.nba.com/draft/2020/prospects/jalen-harris#/</t>
  </si>
  <si>
    <t>https://www.sports-reference.com/cbb/players/jalen-harris-2.html</t>
  </si>
  <si>
    <t>https://www.sports-reference.com/cbb/players/skylar-mays-1.html</t>
  </si>
  <si>
    <t>https://www.nba.com/draft/2020/prospects/skylar-mays#/</t>
  </si>
  <si>
    <t>LSU</t>
  </si>
  <si>
    <t>https://www.nba.com/draft/2020/prospects/reggie-perry#/</t>
  </si>
  <si>
    <t>https://www.nba.com/draft/2020/prospects/jordan-nwora#/</t>
  </si>
  <si>
    <t>Louisville</t>
  </si>
  <si>
    <t>https://www.sports-reference.com/cbb/players/jordan-nwora-1.html</t>
  </si>
  <si>
    <t>https://www.sports-reference.com/cbb/players/reggie-perry-2.html</t>
  </si>
  <si>
    <t>https://www.nba.com/draft/2020/prospects/atnhony-edwards#/</t>
  </si>
  <si>
    <t>https://www.nba.com/draft/2020/prospects/devin-vassell#/</t>
  </si>
  <si>
    <t>https://www.nba.com/draft/2020/prospects/tyrell-terry#/</t>
  </si>
  <si>
    <t>https://www.nba.com/draft/2020/prospects/isaac-okoro#/</t>
  </si>
  <si>
    <t>https://www.nba.com/draft/2020/prospects/tyrese-haliburton#/</t>
  </si>
  <si>
    <t>https://www.nba.com/draft/2020/prospects/deni-avdija#/</t>
  </si>
  <si>
    <t>https://www.nba.com/draft/2020/prospects/obi-toppin#/</t>
  </si>
  <si>
    <t>https://www.nba.com/draft/2020/prospects/tyrese-maxey#/</t>
  </si>
  <si>
    <t>https://www.nba.com/draft/2020/prospects/jalen-smith#/</t>
  </si>
  <si>
    <t>https://www.nba.com/draft/2020/prospects/saddiq-bey#/</t>
  </si>
  <si>
    <t>Ape Formula</t>
  </si>
  <si>
    <t>size, shot creation/playmaking, shooting</t>
  </si>
  <si>
    <t>athleticism, driving, right hand dominance</t>
  </si>
  <si>
    <t>age, strength, athleticism, frame</t>
  </si>
  <si>
    <t>ape, shot creation</t>
  </si>
  <si>
    <t>shot selection</t>
  </si>
  <si>
    <t>playmaking, effort, basketball IQ</t>
  </si>
  <si>
    <t>size, rebounding</t>
  </si>
  <si>
    <t>age, primary ball handling, passing</t>
  </si>
  <si>
    <t>effort, decision making</t>
  </si>
  <si>
    <t>finishing, shot selection</t>
  </si>
  <si>
    <t>shooting, wingspan</t>
  </si>
  <si>
    <t>secondary ball handling/playmaking, basketball IQ</t>
  </si>
  <si>
    <t>athleticism</t>
  </si>
  <si>
    <t>defensive versatility</t>
  </si>
  <si>
    <t>finishing, playmaking as a big, motor, shooting</t>
  </si>
  <si>
    <t>may not be quite big enough to hang with elite Centers</t>
  </si>
  <si>
    <t>frame, athleticism</t>
  </si>
  <si>
    <t>lack of data, competition, defensive reps</t>
  </si>
  <si>
    <t>shot selection, decision making</t>
  </si>
  <si>
    <t>age, rim running, rim protection</t>
  </si>
  <si>
    <t>defensive motor, on ball defense, shot selection</t>
  </si>
  <si>
    <t>finishing, strength</t>
  </si>
  <si>
    <t>weight</t>
  </si>
  <si>
    <t>shooting</t>
  </si>
  <si>
    <t>size limits defensive ability</t>
  </si>
  <si>
    <t>off-ball movement, pick-and-roll ball handling</t>
  </si>
  <si>
    <t>wing defense</t>
  </si>
  <si>
    <t>secondary ball handling/playmaking, interior finishing/foul drawing</t>
  </si>
  <si>
    <t>athleticsm, shot creation, interior offense</t>
  </si>
  <si>
    <t>basketball IQ, shot selection, playmaking</t>
  </si>
  <si>
    <t>ball handling/playmaking as a big</t>
  </si>
  <si>
    <t>age, horizontal athleticism</t>
  </si>
  <si>
    <t>rim running, vertical athleticism</t>
  </si>
  <si>
    <t>wingspan, defense</t>
  </si>
  <si>
    <t>height and fluidity allows for unicorn potential</t>
  </si>
  <si>
    <t>height and weight allows for bust potential, quality of competition</t>
  </si>
  <si>
    <t>shot creation</t>
  </si>
  <si>
    <t>finishing, free throw shooting, defense</t>
  </si>
  <si>
    <t>defensive versatility, playmaking, frame</t>
  </si>
  <si>
    <t>shooting, shot creation, pick-and-roll ability</t>
  </si>
  <si>
    <t>scoring</t>
  </si>
  <si>
    <t>age, wingspan, shot selection</t>
  </si>
  <si>
    <t>off ball defense, free throw shooting, off ball offense</t>
  </si>
  <si>
    <t>turnover prone, horizontal athleticism</t>
  </si>
  <si>
    <t>vecenie</t>
  </si>
  <si>
    <t>age, stretch shooting, pick and roll screening, motor</t>
  </si>
  <si>
    <t>interior scoring, horizontal athleticism, passing</t>
  </si>
  <si>
    <t>shot creation, playmaking, defense</t>
  </si>
  <si>
    <t>plays within role</t>
  </si>
  <si>
    <t>shooting, basketball IQ</t>
  </si>
  <si>
    <t>age for experience</t>
  </si>
  <si>
    <t>athleticism, frame</t>
  </si>
  <si>
    <t>shooting, raw</t>
  </si>
  <si>
    <t>age, shooting, athleticism</t>
  </si>
  <si>
    <t>finishing, passing, off-ball defense</t>
  </si>
  <si>
    <t>playmaking, basketball IQ</t>
  </si>
  <si>
    <t>age, wingspan, athleticism, shooting</t>
  </si>
  <si>
    <t>pick-and-roll finishing, rebounding, strength</t>
  </si>
  <si>
    <t>age, shooting</t>
  </si>
  <si>
    <t>shooting, defense</t>
  </si>
  <si>
    <t>playmaking, finishing</t>
  </si>
  <si>
    <t>frame, athleticism, defensive versatility</t>
  </si>
  <si>
    <t>playmaking, offensive role</t>
  </si>
  <si>
    <t>age, passing, finishing</t>
  </si>
  <si>
    <t>age, defensive versatility</t>
  </si>
  <si>
    <t>shooting, shot creation, finishing</t>
  </si>
  <si>
    <t>age, wingspan, defensive versatility</t>
  </si>
  <si>
    <t>age, motor, strength, interior defense</t>
  </si>
  <si>
    <t>defensive versatility, finishing</t>
  </si>
  <si>
    <t>wingspan, floor general</t>
  </si>
  <si>
    <t>age, frame</t>
  </si>
  <si>
    <t>floor general, shooting</t>
  </si>
  <si>
    <t>defensive versatility, athleticism</t>
  </si>
  <si>
    <t>interior defense</t>
  </si>
  <si>
    <t>athleticism, injuries</t>
  </si>
  <si>
    <t>age, great last name, is named PAUL and went to a school called dePAUL which is a sweet power move</t>
  </si>
  <si>
    <t>finishing, defense</t>
  </si>
  <si>
    <t>shooting, playmaking</t>
  </si>
  <si>
    <t>defense</t>
  </si>
  <si>
    <t>interior offense</t>
  </si>
  <si>
    <t>shot selection, free throw shooting</t>
  </si>
  <si>
    <t>age, shot creation, frame, athleticism</t>
  </si>
  <si>
    <t>athleticism, role</t>
  </si>
  <si>
    <t>wingspan, finishing, defensive versatility</t>
  </si>
  <si>
    <t>size, shooting</t>
  </si>
  <si>
    <t>floor general, defensive IQ</t>
  </si>
  <si>
    <t>size, athleticism</t>
  </si>
  <si>
    <t>size, athleticism, shot selection</t>
  </si>
  <si>
    <t>shooting, ball handling</t>
  </si>
  <si>
    <t>shot selection, defense</t>
  </si>
  <si>
    <t>interior scoring, rebounding</t>
  </si>
  <si>
    <t>wingspan, basketball IQ, playmaking</t>
  </si>
  <si>
    <t>athleticism, size</t>
  </si>
  <si>
    <t>wingspan, shooting</t>
  </si>
  <si>
    <t>age, playmaking, finishing</t>
  </si>
  <si>
    <t>wingspan, decision making</t>
  </si>
  <si>
    <t>interior offense, interior defense</t>
  </si>
  <si>
    <t>age, role</t>
  </si>
  <si>
    <t>interior offense, rebounding</t>
  </si>
  <si>
    <t>wingspan, role, defense</t>
  </si>
  <si>
    <t>age, wingspan, frame</t>
  </si>
  <si>
    <t>offense, defensive versatility</t>
  </si>
  <si>
    <t>interior defense, athleticism</t>
  </si>
  <si>
    <t>age, playmaking</t>
  </si>
  <si>
    <t>7'0.5</t>
  </si>
  <si>
    <t>6'10.5</t>
  </si>
  <si>
    <t>shooting, off-ball defense</t>
  </si>
  <si>
    <t>age, playmaking, defense</t>
  </si>
  <si>
    <t>age, defense</t>
  </si>
  <si>
    <t>improved shooting, defensive awareness and versatility</t>
  </si>
  <si>
    <t>wingspan athleticism, likely 4th or 5th option offensively</t>
  </si>
  <si>
    <t>Trevelin Queen</t>
  </si>
  <si>
    <t>https://www.sports-reference.com/cbb/players/trevelin-queen-1.html</t>
  </si>
  <si>
    <t>New Mexico State</t>
  </si>
  <si>
    <t>https://www.nba.com/draft/2020/prospects/trevelin-queen#/</t>
  </si>
  <si>
    <t>playmaking, shot creation, age</t>
  </si>
  <si>
    <t>Pick</t>
  </si>
  <si>
    <t>Player</t>
  </si>
  <si>
    <t>Team</t>
  </si>
  <si>
    <t>Board</t>
  </si>
  <si>
    <t>Tier</t>
  </si>
  <si>
    <t>Value</t>
  </si>
  <si>
    <t>MIN</t>
  </si>
  <si>
    <t>Pos</t>
  </si>
  <si>
    <t>GSW</t>
  </si>
  <si>
    <t>CHA</t>
  </si>
  <si>
    <t>CHI</t>
  </si>
  <si>
    <t>CLE</t>
  </si>
  <si>
    <t>ATL</t>
  </si>
  <si>
    <t>DET</t>
  </si>
  <si>
    <t>NYK</t>
  </si>
  <si>
    <t>WAS</t>
  </si>
  <si>
    <t>PHX</t>
  </si>
  <si>
    <t>SAS</t>
  </si>
  <si>
    <t>SAC</t>
  </si>
  <si>
    <t>NOP</t>
  </si>
  <si>
    <t>BOS</t>
  </si>
  <si>
    <t>ORL</t>
  </si>
  <si>
    <t>OKC</t>
  </si>
  <si>
    <t>DAL</t>
  </si>
  <si>
    <t>BRK</t>
  </si>
  <si>
    <t>MIA</t>
  </si>
  <si>
    <t>PHI</t>
  </si>
  <si>
    <t>DEN</t>
  </si>
  <si>
    <t>UTA</t>
  </si>
  <si>
    <t>TOR</t>
  </si>
  <si>
    <t>MEM</t>
  </si>
  <si>
    <t>Vit Krejci</t>
  </si>
  <si>
    <t>Saben Lee</t>
  </si>
  <si>
    <t>Nick Richards</t>
  </si>
  <si>
    <t>Marko Simonovic</t>
  </si>
  <si>
    <t>MIL</t>
  </si>
  <si>
    <t>POR</t>
  </si>
  <si>
    <t>Justinian Jessup</t>
  </si>
  <si>
    <t>Kenyon Martin Jr.</t>
  </si>
  <si>
    <t>HM</t>
  </si>
  <si>
    <t>pick</t>
  </si>
  <si>
    <t>team</t>
  </si>
  <si>
    <t>Mamadi Diakite</t>
  </si>
  <si>
    <t>Lamine Diane</t>
  </si>
  <si>
    <t>CJ Elleby</t>
  </si>
  <si>
    <t>Malik Fitts</t>
  </si>
  <si>
    <t>Trent Forrest</t>
  </si>
  <si>
    <t>Nate Hinton</t>
  </si>
  <si>
    <t>Markus Howard</t>
  </si>
  <si>
    <t>Mason Jones</t>
  </si>
  <si>
    <t>Sam Merrill</t>
  </si>
  <si>
    <t>Abdoulaye N'doye</t>
  </si>
  <si>
    <t>Myles Powell</t>
  </si>
  <si>
    <t>Jay Scrubb</t>
  </si>
  <si>
    <t>Tres Tinkle</t>
  </si>
  <si>
    <t>Kaleb Wesson</t>
  </si>
  <si>
    <t>IND</t>
  </si>
  <si>
    <t>LAC</t>
  </si>
  <si>
    <t>Value2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</si>
</sst>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Verdana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10" fontId="0" fillId="0" borderId="0" xfId="0" applyNumberFormat="1"/>
    <xf numFmtId="0" fontId="0" fillId="2" borderId="0" xfId="0" applyFill="1"/>
    <xf numFmtId="0" fontId="0" fillId="0" borderId="0" xfId="0" applyAlignment="1">
      <alignment shrinkToFit="1"/>
    </xf>
    <xf numFmtId="2" fontId="0" fillId="0" borderId="0" xfId="0" applyNumberFormat="1" applyAlignment="1">
      <alignment shrinkToFit="1"/>
    </xf>
    <xf numFmtId="0" fontId="1" fillId="0" borderId="0" xfId="1" applyAlignment="1">
      <alignment shrinkToFit="1"/>
    </xf>
    <xf numFmtId="164" fontId="0" fillId="2" borderId="0" xfId="0" applyNumberFormat="1" applyFill="1"/>
    <xf numFmtId="0" fontId="0" fillId="0" borderId="0" xfId="0" applyNumberFormat="1"/>
    <xf numFmtId="0" fontId="0" fillId="0" borderId="0" xfId="0" quotePrefix="1" applyAlignment="1">
      <alignment shrinkToFit="1"/>
    </xf>
    <xf numFmtId="0" fontId="0" fillId="2" borderId="0" xfId="0" quotePrefix="1" applyFill="1"/>
    <xf numFmtId="14" fontId="0" fillId="0" borderId="0" xfId="0" applyNumberFormat="1" applyAlignment="1">
      <alignment shrinkToFit="1"/>
    </xf>
    <xf numFmtId="0" fontId="3" fillId="0" borderId="0" xfId="0" applyFont="1" applyAlignment="1">
      <alignment shrinkToFit="1"/>
    </xf>
    <xf numFmtId="1" fontId="0" fillId="0" borderId="0" xfId="0" applyNumberFormat="1" applyAlignment="1">
      <alignment shrinkToFit="1"/>
    </xf>
    <xf numFmtId="0" fontId="1" fillId="0" borderId="0" xfId="1" applyAlignment="1">
      <alignment horizontal="center" shrinkToFit="1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ba.com/draft/2020/prospects/rj-hampton" TargetMode="External"/><Relationship Id="rId21" Type="http://schemas.openxmlformats.org/officeDocument/2006/relationships/hyperlink" Target="https://www.nba.com/draft/2020/prospects/kira-lewis" TargetMode="External"/><Relationship Id="rId42" Type="http://schemas.openxmlformats.org/officeDocument/2006/relationships/hyperlink" Target="https://www.nba.com/draft/2020/prospects/elijah-hughes" TargetMode="External"/><Relationship Id="rId47" Type="http://schemas.openxmlformats.org/officeDocument/2006/relationships/hyperlink" Target="https://www.nba.com/draft/2020/prospects/grant-riller" TargetMode="External"/><Relationship Id="rId63" Type="http://schemas.openxmlformats.org/officeDocument/2006/relationships/hyperlink" Target="https://www.sports-reference.com/cbb/players/james-wiseman-1.html" TargetMode="External"/><Relationship Id="rId68" Type="http://schemas.openxmlformats.org/officeDocument/2006/relationships/hyperlink" Target="https://www.sports-reference.com/cbb/players/obadiah-toppin-1.html" TargetMode="External"/><Relationship Id="rId84" Type="http://schemas.openxmlformats.org/officeDocument/2006/relationships/hyperlink" Target="https://www.sports-reference.com/cbb/players/nico-mannion-1.html" TargetMode="External"/><Relationship Id="rId89" Type="http://schemas.openxmlformats.org/officeDocument/2006/relationships/hyperlink" Target="https://www.sports-reference.com/cbb/players/ty-shon-alexander-1.html" TargetMode="External"/><Relationship Id="rId16" Type="http://schemas.openxmlformats.org/officeDocument/2006/relationships/hyperlink" Target="https://www.nba.com/draft/2020/prospects/killian-hayes" TargetMode="External"/><Relationship Id="rId107" Type="http://schemas.openxmlformats.org/officeDocument/2006/relationships/hyperlink" Target="https://www.sports-reference.com/cbb/players/udoka-azubuike-1.html" TargetMode="External"/><Relationship Id="rId11" Type="http://schemas.openxmlformats.org/officeDocument/2006/relationships/hyperlink" Target="https://www.nba.com/draft/2020/prospects/saddiq-bey" TargetMode="External"/><Relationship Id="rId32" Type="http://schemas.openxmlformats.org/officeDocument/2006/relationships/hyperlink" Target="https://www.nba.com/draft/2020/prospects/nico-mannion" TargetMode="External"/><Relationship Id="rId37" Type="http://schemas.openxmlformats.org/officeDocument/2006/relationships/hyperlink" Target="https://www.nba.com/draft/2020/prospects/malachi-flynn" TargetMode="External"/><Relationship Id="rId53" Type="http://schemas.openxmlformats.org/officeDocument/2006/relationships/hyperlink" Target="https://www.nba.com/draft/2020/prospects/vernon-carey" TargetMode="External"/><Relationship Id="rId58" Type="http://schemas.openxmlformats.org/officeDocument/2006/relationships/hyperlink" Target="https://www.nba.com/draft/2020/prospects/reggie-perry" TargetMode="External"/><Relationship Id="rId74" Type="http://schemas.openxmlformats.org/officeDocument/2006/relationships/hyperlink" Target="https://www.sports-reference.com/cbb/players/jalen-smith-1.html" TargetMode="External"/><Relationship Id="rId79" Type="http://schemas.openxmlformats.org/officeDocument/2006/relationships/hyperlink" Target="https://www.sports-reference.com/cbb/players/robert-woodard-2.html" TargetMode="External"/><Relationship Id="rId102" Type="http://schemas.openxmlformats.org/officeDocument/2006/relationships/hyperlink" Target="https://www.sports-reference.com/cbb/players/xavier-tillman-1.html" TargetMode="External"/><Relationship Id="rId5" Type="http://schemas.openxmlformats.org/officeDocument/2006/relationships/hyperlink" Target="https://www.nba.com/draft/2020/prospects/isaac-okoro" TargetMode="External"/><Relationship Id="rId90" Type="http://schemas.openxmlformats.org/officeDocument/2006/relationships/hyperlink" Target="https://www.sports-reference.com/cbb/players/malachi-flynn-1.html" TargetMode="External"/><Relationship Id="rId95" Type="http://schemas.openxmlformats.org/officeDocument/2006/relationships/hyperlink" Target="https://www.sports-reference.com/cbb/players/elijah-hughes-1.html" TargetMode="External"/><Relationship Id="rId22" Type="http://schemas.openxmlformats.org/officeDocument/2006/relationships/hyperlink" Target="https://www.nba.com/draft/2020/prospects/cole-anthony" TargetMode="External"/><Relationship Id="rId27" Type="http://schemas.openxmlformats.org/officeDocument/2006/relationships/hyperlink" Target="https://www.nba.com/draft/2020/prospects/robert-woodard" TargetMode="External"/><Relationship Id="rId43" Type="http://schemas.openxmlformats.org/officeDocument/2006/relationships/hyperlink" Target="https://www.nba.com/draft/2020/prospects/tre-jones" TargetMode="External"/><Relationship Id="rId48" Type="http://schemas.openxmlformats.org/officeDocument/2006/relationships/hyperlink" Target="https://www.nba.com/draft/2020/prospects/zeke-nnaji" TargetMode="External"/><Relationship Id="rId64" Type="http://schemas.openxmlformats.org/officeDocument/2006/relationships/hyperlink" Target="https://www.sports-reference.com/cbb/players/devin-vassell-1.html" TargetMode="External"/><Relationship Id="rId69" Type="http://schemas.openxmlformats.org/officeDocument/2006/relationships/hyperlink" Target="https://www.basketball-reference.com/international/players/aleksej-pokusevski-1.html" TargetMode="External"/><Relationship Id="rId80" Type="http://schemas.openxmlformats.org/officeDocument/2006/relationships/hyperlink" Target="https://www.basketball-reference.com/international/players/leandro-bolmaro-1.html" TargetMode="External"/><Relationship Id="rId85" Type="http://schemas.openxmlformats.org/officeDocument/2006/relationships/hyperlink" Target="https://www.sports-reference.com/cbb/players/isaiah-joe-1.html" TargetMode="External"/><Relationship Id="rId12" Type="http://schemas.openxmlformats.org/officeDocument/2006/relationships/hyperlink" Target="https://www.sports-reference.com/cbb/players/skylar-mays-1.html" TargetMode="External"/><Relationship Id="rId17" Type="http://schemas.openxmlformats.org/officeDocument/2006/relationships/hyperlink" Target="https://www.nba.com/draft/2020/prospects/lamelo-ball" TargetMode="External"/><Relationship Id="rId33" Type="http://schemas.openxmlformats.org/officeDocument/2006/relationships/hyperlink" Target="https://www.nba.com/draft/2020/prospects/devon-dotson" TargetMode="External"/><Relationship Id="rId38" Type="http://schemas.openxmlformats.org/officeDocument/2006/relationships/hyperlink" Target="https://www.nba.com/draft/2020/prospects/killian-tillie" TargetMode="External"/><Relationship Id="rId59" Type="http://schemas.openxmlformats.org/officeDocument/2006/relationships/hyperlink" Target="https://www.sports-reference.com/cbb/players/anthony-edwards-2.html" TargetMode="External"/><Relationship Id="rId103" Type="http://schemas.openxmlformats.org/officeDocument/2006/relationships/hyperlink" Target="https://www.sports-reference.com/cbb/players/immanuel-quickley-1.html" TargetMode="External"/><Relationship Id="rId108" Type="http://schemas.openxmlformats.org/officeDocument/2006/relationships/hyperlink" Target="https://www.sports-reference.com/cbb/players/trevelin-queen-1.html" TargetMode="External"/><Relationship Id="rId54" Type="http://schemas.openxmlformats.org/officeDocument/2006/relationships/hyperlink" Target="https://www.nba.com/draft/2020/prospects/udoka-azubuike" TargetMode="External"/><Relationship Id="rId70" Type="http://schemas.openxmlformats.org/officeDocument/2006/relationships/hyperlink" Target="https://www.sports-reference.com/cbb/players/tyrese-maxey-1.html" TargetMode="External"/><Relationship Id="rId75" Type="http://schemas.openxmlformats.org/officeDocument/2006/relationships/hyperlink" Target="https://www.sports-reference.com/cbb/players/saddiq-bey-1.html" TargetMode="External"/><Relationship Id="rId91" Type="http://schemas.openxmlformats.org/officeDocument/2006/relationships/hyperlink" Target="https://www.sports-reference.com/cbb/players/killian-tillie-1.html" TargetMode="External"/><Relationship Id="rId96" Type="http://schemas.openxmlformats.org/officeDocument/2006/relationships/hyperlink" Target="https://www.sports-reference.com/cbb/players/tre-jones-1.html" TargetMode="External"/><Relationship Id="rId1" Type="http://schemas.openxmlformats.org/officeDocument/2006/relationships/hyperlink" Target="https://www.basketball-reference.com/international/players/killian-hayes-1.html" TargetMode="External"/><Relationship Id="rId6" Type="http://schemas.openxmlformats.org/officeDocument/2006/relationships/hyperlink" Target="https://www.nba.com/draft/2020/prospects/tyrese-haliburton" TargetMode="External"/><Relationship Id="rId15" Type="http://schemas.openxmlformats.org/officeDocument/2006/relationships/hyperlink" Target="https://www.sports-reference.com/cbb/players/reggie-perry-2.html" TargetMode="External"/><Relationship Id="rId23" Type="http://schemas.openxmlformats.org/officeDocument/2006/relationships/hyperlink" Target="https://www.nba.com/draft/2020/prospects/patrick-williams" TargetMode="External"/><Relationship Id="rId28" Type="http://schemas.openxmlformats.org/officeDocument/2006/relationships/hyperlink" Target="https://www.nba.com/draft/2020/prospects/leandro-bolmaro" TargetMode="External"/><Relationship Id="rId36" Type="http://schemas.openxmlformats.org/officeDocument/2006/relationships/hyperlink" Target="https://www.nba.com/draft/2020/prospects/ty-shon-alexander" TargetMode="External"/><Relationship Id="rId49" Type="http://schemas.openxmlformats.org/officeDocument/2006/relationships/hyperlink" Target="https://www.nba.com/draft/2020/prospects/xavier-tillman" TargetMode="External"/><Relationship Id="rId57" Type="http://schemas.openxmlformats.org/officeDocument/2006/relationships/hyperlink" Target="https://www.nba.com/draft/2020/prospects/jordan-nwora" TargetMode="External"/><Relationship Id="rId106" Type="http://schemas.openxmlformats.org/officeDocument/2006/relationships/hyperlink" Target="https://www.sports-reference.com/cbb/players/vernon-careyjr-1.html" TargetMode="External"/><Relationship Id="rId10" Type="http://schemas.openxmlformats.org/officeDocument/2006/relationships/hyperlink" Target="https://www.nba.com/draft/2020/prospects/jalen-smith" TargetMode="External"/><Relationship Id="rId31" Type="http://schemas.openxmlformats.org/officeDocument/2006/relationships/hyperlink" Target="https://www.nba.com/draft/2020/prospects/jaden-mcdaniels" TargetMode="External"/><Relationship Id="rId44" Type="http://schemas.openxmlformats.org/officeDocument/2006/relationships/hyperlink" Target="https://www.nba.com/draft/2020/prospects/yam-madar" TargetMode="External"/><Relationship Id="rId52" Type="http://schemas.openxmlformats.org/officeDocument/2006/relationships/hyperlink" Target="https://www.nba.com/draft/2020/prospects/daniel-oturu" TargetMode="External"/><Relationship Id="rId60" Type="http://schemas.openxmlformats.org/officeDocument/2006/relationships/hyperlink" Target="https://www.basketball-reference.com/international/players/lamelo-ball-1.html" TargetMode="External"/><Relationship Id="rId65" Type="http://schemas.openxmlformats.org/officeDocument/2006/relationships/hyperlink" Target="https://www.sports-reference.com/cbb/players/tyrell-terry-1.html" TargetMode="External"/><Relationship Id="rId73" Type="http://schemas.openxmlformats.org/officeDocument/2006/relationships/hyperlink" Target="https://www.sports-reference.com/cbb/players/patrick-williams-2.html" TargetMode="External"/><Relationship Id="rId78" Type="http://schemas.openxmlformats.org/officeDocument/2006/relationships/hyperlink" Target="https://www.basketball-reference.com/international/players/rj-hampton-1.html" TargetMode="External"/><Relationship Id="rId81" Type="http://schemas.openxmlformats.org/officeDocument/2006/relationships/hyperlink" Target="https://www.sports-reference.com/cbb/players/precious-achiuwa-1.html" TargetMode="External"/><Relationship Id="rId86" Type="http://schemas.openxmlformats.org/officeDocument/2006/relationships/hyperlink" Target="https://www.sports-reference.com/cbb/players/devon-dotson-1.html" TargetMode="External"/><Relationship Id="rId94" Type="http://schemas.openxmlformats.org/officeDocument/2006/relationships/hyperlink" Target="https://www.sports-reference.com/cbb/players/jahmius-ramsey-1.html" TargetMode="External"/><Relationship Id="rId99" Type="http://schemas.openxmlformats.org/officeDocument/2006/relationships/hyperlink" Target="https://www.sports-reference.com/cbb/players/payton-pritchard-1.html" TargetMode="External"/><Relationship Id="rId101" Type="http://schemas.openxmlformats.org/officeDocument/2006/relationships/hyperlink" Target="https://www.sports-reference.com/cbb/players/zeke-nnaji-1.html" TargetMode="External"/><Relationship Id="rId4" Type="http://schemas.openxmlformats.org/officeDocument/2006/relationships/hyperlink" Target="https://www.nba.com/draft/2020/prospects/tyrell-terry" TargetMode="External"/><Relationship Id="rId9" Type="http://schemas.openxmlformats.org/officeDocument/2006/relationships/hyperlink" Target="https://www.nba.com/draft/2020/prospects/tyrese-maxey" TargetMode="External"/><Relationship Id="rId13" Type="http://schemas.openxmlformats.org/officeDocument/2006/relationships/hyperlink" Target="https://www.sports-reference.com/cbb/players/jalen-harris-2.html" TargetMode="External"/><Relationship Id="rId18" Type="http://schemas.openxmlformats.org/officeDocument/2006/relationships/hyperlink" Target="https://www.nba.com/draft/2020/prospects/onyeka-okongwu" TargetMode="External"/><Relationship Id="rId39" Type="http://schemas.openxmlformats.org/officeDocument/2006/relationships/hyperlink" Target="https://www.nba.com/draft/2020/prospects/paul-reed" TargetMode="External"/><Relationship Id="rId109" Type="http://schemas.openxmlformats.org/officeDocument/2006/relationships/hyperlink" Target="https://www.nba.com/draft/2020/prospects/trevelin-queen" TargetMode="External"/><Relationship Id="rId34" Type="http://schemas.openxmlformats.org/officeDocument/2006/relationships/hyperlink" Target="https://www.nba.com/draft/2020/prospects/isaiah-stewart" TargetMode="External"/><Relationship Id="rId50" Type="http://schemas.openxmlformats.org/officeDocument/2006/relationships/hyperlink" Target="https://www.nba.com/draft/2020/prospects/immanuel-quickley" TargetMode="External"/><Relationship Id="rId55" Type="http://schemas.openxmlformats.org/officeDocument/2006/relationships/hyperlink" Target="https://www.nba.com/draft/2020/prospects/skylar-mays" TargetMode="External"/><Relationship Id="rId76" Type="http://schemas.openxmlformats.org/officeDocument/2006/relationships/hyperlink" Target="https://www.sports-reference.com/cbb/players/aaron-nesmith-1.html" TargetMode="External"/><Relationship Id="rId97" Type="http://schemas.openxmlformats.org/officeDocument/2006/relationships/hyperlink" Target="https://www.basketball-reference.com/international/players/yam-madar-1.html" TargetMode="External"/><Relationship Id="rId104" Type="http://schemas.openxmlformats.org/officeDocument/2006/relationships/hyperlink" Target="https://www.sports-reference.com/cbb/players/cassius-stanley-1.html" TargetMode="External"/><Relationship Id="rId7" Type="http://schemas.openxmlformats.org/officeDocument/2006/relationships/hyperlink" Target="https://www.nba.com/draft/2020/prospects/deni-avdija" TargetMode="External"/><Relationship Id="rId71" Type="http://schemas.openxmlformats.org/officeDocument/2006/relationships/hyperlink" Target="https://www.sports-reference.com/cbb/players/kira-lewisjr-1.html" TargetMode="External"/><Relationship Id="rId92" Type="http://schemas.openxmlformats.org/officeDocument/2006/relationships/hyperlink" Target="https://www.sports-reference.com/cbb/players/paul-reed-5.html" TargetMode="External"/><Relationship Id="rId2" Type="http://schemas.openxmlformats.org/officeDocument/2006/relationships/hyperlink" Target="https://www.nba.com/draft/2020/prospects/atnhony-edwards" TargetMode="External"/><Relationship Id="rId29" Type="http://schemas.openxmlformats.org/officeDocument/2006/relationships/hyperlink" Target="https://www.nba.com/draft/2020/prospects/precious-achiuwa" TargetMode="External"/><Relationship Id="rId24" Type="http://schemas.openxmlformats.org/officeDocument/2006/relationships/hyperlink" Target="https://www.nba.com/draft/2020/prospects/aaron-nesmith" TargetMode="External"/><Relationship Id="rId40" Type="http://schemas.openxmlformats.org/officeDocument/2006/relationships/hyperlink" Target="https://www.nba.com/draft/2020/prospects/tyler-bey" TargetMode="External"/><Relationship Id="rId45" Type="http://schemas.openxmlformats.org/officeDocument/2006/relationships/hyperlink" Target="https://www.nba.com/draft/2020/prospects/cassius-winston" TargetMode="External"/><Relationship Id="rId66" Type="http://schemas.openxmlformats.org/officeDocument/2006/relationships/hyperlink" Target="https://www.sports-reference.com/cbb/players/isaac-okoro-1.html" TargetMode="External"/><Relationship Id="rId87" Type="http://schemas.openxmlformats.org/officeDocument/2006/relationships/hyperlink" Target="https://www.sports-reference.com/cbb/players/isaiah-stewart-2.html" TargetMode="External"/><Relationship Id="rId61" Type="http://schemas.openxmlformats.org/officeDocument/2006/relationships/hyperlink" Target="https://www.basketball-reference.com/international/players/deni-avdija-1.html" TargetMode="External"/><Relationship Id="rId82" Type="http://schemas.openxmlformats.org/officeDocument/2006/relationships/hyperlink" Target="https://www.sports-reference.com/cbb/players/josh-green-2.html" TargetMode="External"/><Relationship Id="rId19" Type="http://schemas.openxmlformats.org/officeDocument/2006/relationships/hyperlink" Target="https://www.nba.com/draft/2020/prospects/james-wiseman" TargetMode="External"/><Relationship Id="rId14" Type="http://schemas.openxmlformats.org/officeDocument/2006/relationships/hyperlink" Target="https://www.sports-reference.com/cbb/players/jordan-nwora-1.html" TargetMode="External"/><Relationship Id="rId30" Type="http://schemas.openxmlformats.org/officeDocument/2006/relationships/hyperlink" Target="https://www.nba.com/draft/2020/prospects/josh-green" TargetMode="External"/><Relationship Id="rId35" Type="http://schemas.openxmlformats.org/officeDocument/2006/relationships/hyperlink" Target="https://www.nba.com/draft/2020/prospects/theo-maledon" TargetMode="External"/><Relationship Id="rId56" Type="http://schemas.openxmlformats.org/officeDocument/2006/relationships/hyperlink" Target="https://www.nba.com/draft/2020/prospects/jalen-harris" TargetMode="External"/><Relationship Id="rId77" Type="http://schemas.openxmlformats.org/officeDocument/2006/relationships/hyperlink" Target="https://www.sports-reference.com/cbb/players/desmond-bane-1.html" TargetMode="External"/><Relationship Id="rId100" Type="http://schemas.openxmlformats.org/officeDocument/2006/relationships/hyperlink" Target="https://www.sports-reference.com/cbb/players/grant-riller-1.html" TargetMode="External"/><Relationship Id="rId105" Type="http://schemas.openxmlformats.org/officeDocument/2006/relationships/hyperlink" Target="https://www.sports-reference.com/cbb/players/daniel-oturu-1.html" TargetMode="External"/><Relationship Id="rId8" Type="http://schemas.openxmlformats.org/officeDocument/2006/relationships/hyperlink" Target="https://www.nba.com/draft/2020/prospects/obi-toppin" TargetMode="External"/><Relationship Id="rId51" Type="http://schemas.openxmlformats.org/officeDocument/2006/relationships/hyperlink" Target="https://www.nba.com/draft/2020/prospects/cassius-stanley" TargetMode="External"/><Relationship Id="rId72" Type="http://schemas.openxmlformats.org/officeDocument/2006/relationships/hyperlink" Target="https://www.sports-reference.com/cbb/players/cole-anthony-1.html" TargetMode="External"/><Relationship Id="rId93" Type="http://schemas.openxmlformats.org/officeDocument/2006/relationships/hyperlink" Target="https://www.sports-reference.com/cbb/players/tyler-bey-1.html" TargetMode="External"/><Relationship Id="rId98" Type="http://schemas.openxmlformats.org/officeDocument/2006/relationships/hyperlink" Target="https://www.sports-reference.com/cbb/players/cassius-winston-1.html" TargetMode="External"/><Relationship Id="rId3" Type="http://schemas.openxmlformats.org/officeDocument/2006/relationships/hyperlink" Target="https://www.nba.com/draft/2020/prospects/devin-vassell" TargetMode="External"/><Relationship Id="rId25" Type="http://schemas.openxmlformats.org/officeDocument/2006/relationships/hyperlink" Target="https://www.nba.com/draft/2020/prospects/desmond-bane" TargetMode="External"/><Relationship Id="rId46" Type="http://schemas.openxmlformats.org/officeDocument/2006/relationships/hyperlink" Target="https://www.nba.com/draft/2020/prospects/payton-pritchard" TargetMode="External"/><Relationship Id="rId67" Type="http://schemas.openxmlformats.org/officeDocument/2006/relationships/hyperlink" Target="https://www.sports-reference.com/cbb/players/tyrese-haliburton-1.html" TargetMode="External"/><Relationship Id="rId20" Type="http://schemas.openxmlformats.org/officeDocument/2006/relationships/hyperlink" Target="https://www.nba.com/draft/2020/prospects/aleksej-pokusevski" TargetMode="External"/><Relationship Id="rId41" Type="http://schemas.openxmlformats.org/officeDocument/2006/relationships/hyperlink" Target="https://www.nba.com/draft/2020/prospects/jahmius-ramsey" TargetMode="External"/><Relationship Id="rId62" Type="http://schemas.openxmlformats.org/officeDocument/2006/relationships/hyperlink" Target="https://www.sports-reference.com/cbb/players/onyeka-okongwu-1.html" TargetMode="External"/><Relationship Id="rId83" Type="http://schemas.openxmlformats.org/officeDocument/2006/relationships/hyperlink" Target="https://www.sports-reference.com/cbb/players/jaden-mcdaniels-1.html" TargetMode="External"/><Relationship Id="rId88" Type="http://schemas.openxmlformats.org/officeDocument/2006/relationships/hyperlink" Target="https://www.basketball-reference.com/international/players/theo-maledon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9" sqref="P9"/>
    </sheetView>
  </sheetViews>
  <sheetFormatPr baseColWidth="10" defaultRowHeight="16"/>
  <cols>
    <col min="1" max="1" width="22.1640625" style="3" bestFit="1" customWidth="1"/>
    <col min="2" max="4" width="10.1640625" style="3" customWidth="1"/>
    <col min="5" max="5" width="17" style="3" customWidth="1"/>
    <col min="6" max="6" width="10.5" style="3" customWidth="1"/>
    <col min="7" max="7" width="6.6640625" style="4" customWidth="1"/>
    <col min="8" max="12" width="6" style="3" customWidth="1"/>
    <col min="13" max="13" width="6" style="4" customWidth="1"/>
    <col min="14" max="17" width="8.33203125" style="3" customWidth="1"/>
    <col min="18" max="18" width="8.33203125" style="12" customWidth="1"/>
    <col min="19" max="20" width="6.33203125" style="3" customWidth="1"/>
    <col min="21" max="21" width="11.83203125" style="3" customWidth="1"/>
    <col min="22" max="22" width="10.33203125" style="3" customWidth="1"/>
    <col min="23" max="23" width="10.33203125" style="6" customWidth="1"/>
    <col min="24" max="24" width="8.33203125" style="2" customWidth="1"/>
    <col min="25" max="27" width="7.83203125" style="2" customWidth="1"/>
    <col min="28" max="28" width="7.5" style="2" customWidth="1"/>
    <col min="29" max="30" width="8.83203125" style="2" customWidth="1"/>
    <col min="31" max="31" width="11.5" style="2" customWidth="1"/>
    <col min="32" max="32" width="8.1640625" style="2" customWidth="1"/>
  </cols>
  <sheetData>
    <row r="1" spans="1:33">
      <c r="A1" s="3" t="s">
        <v>12</v>
      </c>
      <c r="B1" s="3" t="s">
        <v>17</v>
      </c>
      <c r="C1" s="3" t="s">
        <v>435</v>
      </c>
      <c r="D1" s="3" t="s">
        <v>436</v>
      </c>
      <c r="E1" s="3" t="s">
        <v>23</v>
      </c>
      <c r="F1" s="3" t="s">
        <v>27</v>
      </c>
      <c r="G1" s="10">
        <v>44153</v>
      </c>
      <c r="H1" s="3" t="s">
        <v>2</v>
      </c>
      <c r="I1" s="3" t="s">
        <v>301</v>
      </c>
      <c r="J1" s="3" t="s">
        <v>3</v>
      </c>
      <c r="K1" s="3" t="s">
        <v>5</v>
      </c>
      <c r="L1" s="3" t="s">
        <v>6</v>
      </c>
      <c r="M1" s="4" t="s">
        <v>278</v>
      </c>
      <c r="N1" s="8" t="s">
        <v>149</v>
      </c>
      <c r="O1" s="8" t="s">
        <v>150</v>
      </c>
      <c r="P1" s="8" t="s">
        <v>56</v>
      </c>
      <c r="Q1" s="8" t="s">
        <v>151</v>
      </c>
      <c r="R1" s="12" t="s">
        <v>7</v>
      </c>
      <c r="S1" s="3" t="s">
        <v>16</v>
      </c>
      <c r="U1" s="3" t="s">
        <v>60</v>
      </c>
      <c r="V1" s="3" t="s">
        <v>59</v>
      </c>
      <c r="W1" s="6" t="s">
        <v>29</v>
      </c>
      <c r="X1" s="2" t="s">
        <v>14</v>
      </c>
      <c r="Y1" s="2" t="s">
        <v>66</v>
      </c>
      <c r="Z1" s="2" t="s">
        <v>13</v>
      </c>
      <c r="AA1" s="2" t="s">
        <v>323</v>
      </c>
      <c r="AB1" s="2" t="s">
        <v>15</v>
      </c>
      <c r="AC1" s="2" t="s">
        <v>1</v>
      </c>
      <c r="AD1" s="2" t="s">
        <v>301</v>
      </c>
      <c r="AE1" s="2" t="s">
        <v>0</v>
      </c>
      <c r="AF1" s="2" t="s">
        <v>4</v>
      </c>
    </row>
    <row r="2" spans="1:33">
      <c r="A2" t="s">
        <v>75</v>
      </c>
      <c r="B2" s="3" t="s">
        <v>19</v>
      </c>
      <c r="C2" s="3">
        <f>IFERROR(INDEX(actual!A:A,MATCH(A2,actual!B:B,FALSE)), "")</f>
        <v>6</v>
      </c>
      <c r="D2" s="3" t="str">
        <f>IFERROR(INDEX(actual!C:C,MATCH(A2,actual!B:B,FALSE)), "")</f>
        <v>ATL</v>
      </c>
      <c r="E2" s="3" t="s">
        <v>39</v>
      </c>
      <c r="F2" s="3" t="s">
        <v>28</v>
      </c>
      <c r="G2" s="4">
        <f t="shared" ref="G2:G33" si="0">YEARFRAC(W2, $G$1, 1)</f>
        <v>19.935080172076653</v>
      </c>
      <c r="H2" s="3">
        <f t="shared" ref="H2:H33" si="1">IFERROR(LEFT(AC2,FIND("'",AC2)-1)*12+SUBSTITUTE(MID(AC2,FIND("'",AC2)+1,LEN(AC2)),"''",""), "")</f>
        <v>81</v>
      </c>
      <c r="I2" s="3">
        <f t="shared" ref="I2:I33" si="2">AD2</f>
        <v>245</v>
      </c>
      <c r="J2" s="3">
        <f t="shared" ref="J2:J33" si="3">IFERROR(LEFT(AE2,FIND("'",AE2)-1)*12+SUBSTITUTE(MID(AE2,FIND("'",AE2)+1,LEN(AE2)),"''",""), "")</f>
        <v>85</v>
      </c>
      <c r="K2" s="3" t="str">
        <f t="shared" ref="K2:K33" si="4">IFERROR(LEFT(AF2,FIND("'",AF2)-1)*12+SUBSTITUTE(MID(AF2,FIND("'",AF2)+1,LEN(AF2)),"''",""), "")</f>
        <v/>
      </c>
      <c r="L2" s="3" t="str">
        <f t="shared" ref="L2:L14" si="5">IFERROR(IF(AND(J2-H2&gt;= 0, J2 &gt; 0), "+", ""),"") &amp; IFERROR(IF(AND(J2-H2&gt;= -5, J2 &gt; 0), J2-H2, ""),"")</f>
        <v>+4</v>
      </c>
      <c r="M2" s="4">
        <f t="shared" ref="M2:M33" si="6">IF(H2&gt;0, IFERROR((J2-60)/(H2-60),""), "")</f>
        <v>1.1904761904761905</v>
      </c>
      <c r="N2" s="3" t="s">
        <v>292</v>
      </c>
      <c r="O2" s="3" t="s">
        <v>293</v>
      </c>
      <c r="P2" s="3" t="s">
        <v>294</v>
      </c>
      <c r="R2" s="12">
        <v>57</v>
      </c>
      <c r="S2" s="3">
        <v>1</v>
      </c>
      <c r="T2" s="3">
        <f>IF(R2=R1,T1, MAX(T$1:T1)+1)</f>
        <v>1</v>
      </c>
      <c r="U2" s="5" t="s">
        <v>148</v>
      </c>
      <c r="V2" s="5" t="s">
        <v>147</v>
      </c>
      <c r="W2" s="6">
        <v>36871</v>
      </c>
      <c r="X2" s="2">
        <v>3</v>
      </c>
      <c r="Y2" s="2">
        <v>5</v>
      </c>
      <c r="Z2" s="2">
        <v>1</v>
      </c>
      <c r="AA2" s="2">
        <v>5</v>
      </c>
      <c r="AB2" s="2">
        <v>5</v>
      </c>
      <c r="AC2" s="2" t="str">
        <f>IFERROR(INDEX('ringer measureables'!$A:$J,MATCH($A2,'ringer measureables'!$A:$A,FALSE),7), "")</f>
        <v>6'9</v>
      </c>
      <c r="AD2" s="2">
        <f>IFERROR(INDEX('ringer measureables'!$A:$J,MATCH($A2,'ringer measureables'!$A:$A,FALSE),9), "")</f>
        <v>245</v>
      </c>
      <c r="AE2" s="2" t="str">
        <f>IFERROR(INDEX('ringer measureables'!$A:$J,MATCH($A2,'ringer measureables'!$A:$A,FALSE),10), "")</f>
        <v>7'1</v>
      </c>
      <c r="AF2" s="2">
        <f>IFERROR(INDEX('ringer measureables'!$A:$J,MATCH($A2,'ringer measureables'!$A:$A,FALSE),8), "")</f>
        <v>0</v>
      </c>
      <c r="AG2" t="str">
        <f>AG1
&amp; IF(T2=T1, "", IF(T2=1, "
&lt;!-- rankings --&gt;
  ", "
  &lt;/ol&gt;
  "
)
&amp;
"&lt;h2&gt; Tier "
&amp; T2
&amp; " (~"
&amp; IF(MOD(R2, 5)=0, R2, FLOOR(R2, 5) &amp; "+")
&amp; " FV)&lt;/h2&gt;
  &lt;ol start='"
&amp; S2
&amp; " '&gt;
  "
)
&amp;
"  &lt;li&gt;&lt;b&gt;&lt;a 
    target='_blank' 
    href='"
&amp; V2
&amp; "'&gt;"
&amp; A2
&amp; "&lt;/a&gt;&lt;/b&gt; - &lt;i&gt;"
&amp; B2
&amp; " -
    &lt;a target='_blank'
    href='"
&amp; U2
&amp; "'&gt;"
&amp; E2
&amp; "&lt;/a&gt;&lt;/b&gt; &lt;/i&gt;&lt;/li&gt;
  &lt;ul style='list-style-type:none'&gt;"
&amp; IF(F2 &lt;&gt; "", "
    &lt;li&gt;Grade: " &amp; F2 &amp; " &lt;/li&gt;", "")
&amp; IF(G2 &lt;&gt; "", "
    &lt;li&gt;Age: " &amp; ROUND(G2,1) &amp; " &lt;/li&gt;", "")
&amp; IF(H2 &lt;&gt; "", "
    &lt;li&gt;Height: " &amp; H2 &amp; " in &lt;/li&gt;", "")
&amp; IF(I2 &lt;&gt; "", "
    &lt;li&gt;Weight: " &amp; I2 &amp; " lbs &lt;/li&gt;", "")
&amp; IF(J2 &lt;&gt; "", "
    &lt;li&gt;Wingspan: " &amp; J2 &amp; " in &lt;/li&gt;", "")
&amp; IF(K2 &lt;&gt; "", "
    &lt;li&gt;Reach: " &amp; K2 &amp; " in &lt;/li&gt;", "")
&amp; IF(L2 &lt;&gt; "", "
    &lt;li&gt;Ape: " &amp; L2 &amp; " &lt;/li&gt;", "")
&amp; IF(N2 &lt;&gt; "", "
    &lt;li&gt;++: " &amp; N2 &amp; " &lt;/li&gt;", "")
&amp; IF(O2 &lt;&gt; "", "
    &lt;li&gt;+: " &amp; O2 &amp; " &lt;/li&gt;", "")
&amp; IF(P2 &lt;&gt; "", "
    &lt;li&gt;-: " &amp; P2 &amp; " &lt;/li&gt;", "")
&amp; IF(Q2 &lt;&gt; "", "
    &lt;li&gt;--: " &amp; Q2 &amp; " &lt;/li&gt;", "")
&amp; "
  &lt;/ul&gt;
  &lt;br&gt;"
&amp; IF(T3="", "
  &lt;/ol&gt;
&lt;!-- # end of rankings --&gt;
", "")</f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</v>
      </c>
    </row>
    <row r="3" spans="1:33">
      <c r="A3" t="s">
        <v>70</v>
      </c>
      <c r="B3" s="3" t="s">
        <v>21</v>
      </c>
      <c r="C3" s="3">
        <f>IFERROR(INDEX(actual!A:A,MATCH(A3,actual!B:B,FALSE)), "")</f>
        <v>3</v>
      </c>
      <c r="D3" s="3" t="str">
        <f>IFERROR(INDEX(actual!C:C,MATCH(A3,actual!B:B,FALSE)), "")</f>
        <v>CHA</v>
      </c>
      <c r="E3" s="3" t="s">
        <v>142</v>
      </c>
      <c r="G3" s="4">
        <f t="shared" si="0"/>
        <v>19.241615331964407</v>
      </c>
      <c r="H3" s="3">
        <f t="shared" si="1"/>
        <v>79</v>
      </c>
      <c r="I3" s="3">
        <f t="shared" si="2"/>
        <v>190</v>
      </c>
      <c r="J3" s="3">
        <f t="shared" si="3"/>
        <v>82</v>
      </c>
      <c r="K3" s="3" t="str">
        <f t="shared" si="4"/>
        <v/>
      </c>
      <c r="L3" s="3" t="str">
        <f t="shared" si="5"/>
        <v>+3</v>
      </c>
      <c r="M3" s="4">
        <f t="shared" si="6"/>
        <v>1.1578947368421053</v>
      </c>
      <c r="N3" s="3" t="s">
        <v>286</v>
      </c>
      <c r="O3" s="3" t="s">
        <v>285</v>
      </c>
      <c r="P3" s="3" t="s">
        <v>287</v>
      </c>
      <c r="Q3" s="3" t="s">
        <v>288</v>
      </c>
      <c r="R3" s="12">
        <v>57</v>
      </c>
      <c r="S3" s="3">
        <v>2</v>
      </c>
      <c r="T3" s="3">
        <f>IF(R3=R2,T2, MAX(T$1:T2)+1)</f>
        <v>1</v>
      </c>
      <c r="U3" s="5" t="s">
        <v>144</v>
      </c>
      <c r="V3" s="5" t="s">
        <v>143</v>
      </c>
      <c r="W3" s="6">
        <v>37125</v>
      </c>
      <c r="X3" s="2">
        <v>2</v>
      </c>
      <c r="Y3" s="2">
        <v>3</v>
      </c>
      <c r="Z3" s="2">
        <v>4</v>
      </c>
      <c r="AA3" s="2">
        <v>1</v>
      </c>
      <c r="AB3" s="2">
        <v>1</v>
      </c>
      <c r="AC3" s="2" t="str">
        <f>IFERROR(INDEX('ringer measureables'!$A:$J,MATCH($A3,'ringer measureables'!$A:$A,FALSE),7), "")</f>
        <v>6'7</v>
      </c>
      <c r="AD3" s="2">
        <f>IFERROR(INDEX('ringer measureables'!$A:$J,MATCH($A3,'ringer measureables'!$A:$A,FALSE),9), "")</f>
        <v>190</v>
      </c>
      <c r="AE3" s="2" t="str">
        <f>IFERROR(INDEX('ringer measureables'!$A:$J,MATCH($A3,'ringer measureables'!$A:$A,FALSE),10), "")</f>
        <v>6'10</v>
      </c>
      <c r="AF3" s="2">
        <f>IFERROR(INDEX('ringer measureables'!$A:$J,MATCH($A3,'ringer measureables'!$A:$A,FALSE),8), "")</f>
        <v>0</v>
      </c>
      <c r="AG3" t="str">
        <f t="shared" ref="AG3:AG56" si="7">AG2
&amp; IF(T3=T2, "", IF(T3=1, "
&lt;!-- rankings --&gt;
  ", "
  &lt;/ol&gt;
  "
)
&amp;
"&lt;h2&gt; Tier "
&amp; T3
&amp; " (~"
&amp; IF(MOD(R3, 5)=0, R3, FLOOR(R3, 5) &amp; "+")
&amp; " FV)&lt;/h2&gt;
  &lt;ol start='"
&amp; S3
&amp; " '&gt;
  "
)
&amp;
"  &lt;li&gt;&lt;b&gt;&lt;a 
    target='_blank' 
    href='"
&amp; V3
&amp; "'&gt;"
&amp; A3
&amp; "&lt;/a&gt;&lt;/b&gt; - &lt;i&gt;"
&amp; B3
&amp; " -
    &lt;a target='_blank'
    href='"
&amp; U3
&amp; "'&gt;"
&amp; E3
&amp; "&lt;/a&gt;&lt;/b&gt; &lt;/i&gt;&lt;/li&gt;
  &lt;ul style='list-style-type:none'&gt;"
&amp; IF(F3 &lt;&gt; "", "
    &lt;li&gt;Grade: " &amp; F3 &amp; " &lt;/li&gt;", "")
&amp; IF(G3 &lt;&gt; "", "
    &lt;li&gt;Age: " &amp; ROUND(G3,1) &amp; " &lt;/li&gt;", "")
&amp; IF(H3 &lt;&gt; "", "
    &lt;li&gt;Height: " &amp; H3 &amp; " in &lt;/li&gt;", "")
&amp; IF(I3 &lt;&gt; "", "
    &lt;li&gt;Weight: " &amp; I3 &amp; " lbs &lt;/li&gt;", "")
&amp; IF(J3 &lt;&gt; "", "
    &lt;li&gt;Wingspan: " &amp; J3 &amp; " in &lt;/li&gt;", "")
&amp; IF(K3 &lt;&gt; "", "
    &lt;li&gt;Reach: " &amp; K3 &amp; " in &lt;/li&gt;", "")
&amp; IF(L3 &lt;&gt; "", "
    &lt;li&gt;Ape: " &amp; L3 &amp; " &lt;/li&gt;", "")
&amp; IF(N3 &lt;&gt; "", "
    &lt;li&gt;++: " &amp; N3 &amp; " &lt;/li&gt;", "")
&amp; IF(O3 &lt;&gt; "", "
    &lt;li&gt;+: " &amp; O3 &amp; " &lt;/li&gt;", "")
&amp; IF(P3 &lt;&gt; "", "
    &lt;li&gt;-: " &amp; P3 &amp; " &lt;/li&gt;", "")
&amp; IF(Q3 &lt;&gt; "", "
    &lt;li&gt;--: " &amp; Q3 &amp; " &lt;/li&gt;", "")
&amp; "
  &lt;/ul&gt;
  &lt;br&gt;"
&amp; IF(T4="", "
  &lt;/ol&gt;
&lt;!-- # end of rankings --&gt;
", "")</f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</v>
      </c>
    </row>
    <row r="4" spans="1:33">
      <c r="A4" t="s">
        <v>67</v>
      </c>
      <c r="B4" s="3" t="s">
        <v>22</v>
      </c>
      <c r="C4" s="3">
        <f>IFERROR(INDEX(actual!A:A,MATCH(A4,actual!B:B,FALSE)), "")</f>
        <v>1</v>
      </c>
      <c r="D4" s="3" t="str">
        <f>IFERROR(INDEX(actual!C:C,MATCH(A4,actual!B:B,FALSE)), "")</f>
        <v>MIN</v>
      </c>
      <c r="E4" s="3" t="s">
        <v>37</v>
      </c>
      <c r="F4" s="3" t="s">
        <v>28</v>
      </c>
      <c r="G4" s="4">
        <f t="shared" si="0"/>
        <v>19.288158795345655</v>
      </c>
      <c r="H4" s="3">
        <f t="shared" si="1"/>
        <v>77</v>
      </c>
      <c r="I4" s="3">
        <f t="shared" si="2"/>
        <v>225</v>
      </c>
      <c r="J4" s="3">
        <f t="shared" si="3"/>
        <v>81</v>
      </c>
      <c r="K4" s="3" t="str">
        <f t="shared" si="4"/>
        <v/>
      </c>
      <c r="L4" s="3" t="str">
        <f t="shared" si="5"/>
        <v>+4</v>
      </c>
      <c r="M4" s="4">
        <f t="shared" si="6"/>
        <v>1.2352941176470589</v>
      </c>
      <c r="N4" s="3" t="s">
        <v>281</v>
      </c>
      <c r="O4" s="3" t="s">
        <v>282</v>
      </c>
      <c r="P4" s="3" t="s">
        <v>284</v>
      </c>
      <c r="Q4" s="3" t="s">
        <v>283</v>
      </c>
      <c r="R4" s="12">
        <v>57</v>
      </c>
      <c r="S4" s="3">
        <v>3</v>
      </c>
      <c r="T4" s="3">
        <f>IF(R4=R3,T3, MAX(T$1:T3)+1)</f>
        <v>1</v>
      </c>
      <c r="U4" s="5" t="s">
        <v>141</v>
      </c>
      <c r="V4" s="5" t="s">
        <v>268</v>
      </c>
      <c r="W4" s="6">
        <v>37108</v>
      </c>
      <c r="X4" s="2">
        <v>2</v>
      </c>
      <c r="Y4" s="2">
        <v>2</v>
      </c>
      <c r="Z4" s="2">
        <v>3</v>
      </c>
      <c r="AA4" s="2">
        <v>3</v>
      </c>
      <c r="AB4" s="2">
        <v>2</v>
      </c>
      <c r="AC4" s="2" t="str">
        <f>IFERROR(INDEX('ringer measureables'!$A:$J,MATCH($A4,'ringer measureables'!$A:$A,FALSE),7), "")</f>
        <v>6'5</v>
      </c>
      <c r="AD4" s="2">
        <f>IFERROR(INDEX('ringer measureables'!$A:$J,MATCH($A4,'ringer measureables'!$A:$A,FALSE),9), "")</f>
        <v>225</v>
      </c>
      <c r="AE4" s="2" t="str">
        <f>IFERROR(INDEX('ringer measureables'!$A:$J,MATCH($A4,'ringer measureables'!$A:$A,FALSE),10), "")</f>
        <v>6'9</v>
      </c>
      <c r="AF4" s="2">
        <f>IFERROR(INDEX('ringer measureables'!$A:$J,MATCH($A4,'ringer measureables'!$A:$A,FALSE),8), "")</f>
        <v>0</v>
      </c>
      <c r="AG4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</v>
      </c>
    </row>
    <row r="5" spans="1:33">
      <c r="A5" t="s">
        <v>78</v>
      </c>
      <c r="B5" s="3" t="s">
        <v>18</v>
      </c>
      <c r="C5" s="3">
        <f>IFERROR(INDEX(actual!A:A,MATCH(A5,actual!B:B,FALSE)), "")</f>
        <v>2</v>
      </c>
      <c r="D5" s="3" t="str">
        <f>IFERROR(INDEX(actual!C:C,MATCH(A5,actual!B:B,FALSE)), "")</f>
        <v>GSW</v>
      </c>
      <c r="E5" s="3" t="s">
        <v>153</v>
      </c>
      <c r="F5" s="3" t="s">
        <v>28</v>
      </c>
      <c r="G5" s="4">
        <f t="shared" si="0"/>
        <v>19.635865845311429</v>
      </c>
      <c r="H5" s="3">
        <f t="shared" si="1"/>
        <v>85</v>
      </c>
      <c r="I5" s="3">
        <f t="shared" si="2"/>
        <v>237</v>
      </c>
      <c r="J5" s="3">
        <f t="shared" si="3"/>
        <v>90</v>
      </c>
      <c r="K5" s="3" t="str">
        <f t="shared" si="4"/>
        <v/>
      </c>
      <c r="L5" s="3" t="str">
        <f t="shared" si="5"/>
        <v>+5</v>
      </c>
      <c r="M5" s="4">
        <f t="shared" si="6"/>
        <v>1.2</v>
      </c>
      <c r="N5" s="3" t="s">
        <v>295</v>
      </c>
      <c r="O5" s="3" t="s">
        <v>298</v>
      </c>
      <c r="P5" s="3" t="s">
        <v>297</v>
      </c>
      <c r="Q5" s="3" t="s">
        <v>296</v>
      </c>
      <c r="R5" s="12">
        <v>57</v>
      </c>
      <c r="S5" s="3">
        <v>4</v>
      </c>
      <c r="T5" s="3">
        <f>IF(R5=R4,T4, MAX(T$1:T4)+1)</f>
        <v>1</v>
      </c>
      <c r="U5" s="5" t="s">
        <v>154</v>
      </c>
      <c r="V5" s="5" t="s">
        <v>152</v>
      </c>
      <c r="W5" s="6">
        <v>36981</v>
      </c>
      <c r="X5" s="2">
        <v>3</v>
      </c>
      <c r="Y5" s="2">
        <v>6</v>
      </c>
      <c r="Z5" s="2">
        <v>2</v>
      </c>
      <c r="AA5" s="2">
        <v>2</v>
      </c>
      <c r="AB5" s="2">
        <v>3</v>
      </c>
      <c r="AC5" s="2" t="str">
        <f>IFERROR(INDEX('ringer measureables'!$A:$J,MATCH($A5,'ringer measureables'!$A:$A,FALSE),7), "")</f>
        <v>7'1</v>
      </c>
      <c r="AD5" s="2">
        <f>IFERROR(INDEX('ringer measureables'!$A:$J,MATCH($A5,'ringer measureables'!$A:$A,FALSE),9), "")</f>
        <v>237</v>
      </c>
      <c r="AE5" s="2" t="str">
        <f>IFERROR(INDEX('ringer measureables'!$A:$J,MATCH($A5,'ringer measureables'!$A:$A,FALSE),10), "")</f>
        <v>7'6</v>
      </c>
      <c r="AF5" s="2">
        <f>IFERROR(INDEX('ringer measureables'!$A:$J,MATCH($A5,'ringer measureables'!$A:$A,FALSE),8), "")</f>
        <v>0</v>
      </c>
      <c r="AG5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</v>
      </c>
    </row>
    <row r="6" spans="1:33">
      <c r="A6" t="s">
        <v>97</v>
      </c>
      <c r="B6" s="3" t="s">
        <v>20</v>
      </c>
      <c r="C6" s="3">
        <f>IFERROR(INDEX(actual!A:A,MATCH(A6,actual!B:B,FALSE)), "")</f>
        <v>4</v>
      </c>
      <c r="D6" s="3" t="str">
        <f>IFERROR(INDEX(actual!C:C,MATCH(A6,actual!B:B,FALSE)), "")</f>
        <v>CHI</v>
      </c>
      <c r="E6" s="3" t="s">
        <v>42</v>
      </c>
      <c r="F6" s="3" t="s">
        <v>28</v>
      </c>
      <c r="G6" s="4">
        <f t="shared" si="0"/>
        <v>19.285420944558521</v>
      </c>
      <c r="H6" s="3">
        <f t="shared" si="1"/>
        <v>80</v>
      </c>
      <c r="I6" s="3">
        <f t="shared" si="2"/>
        <v>225</v>
      </c>
      <c r="J6" s="3">
        <f t="shared" si="3"/>
        <v>83</v>
      </c>
      <c r="K6" s="3" t="str">
        <f t="shared" si="4"/>
        <v/>
      </c>
      <c r="L6" s="3" t="str">
        <f t="shared" si="5"/>
        <v>+3</v>
      </c>
      <c r="M6" s="4">
        <f t="shared" si="6"/>
        <v>1.1499999999999999</v>
      </c>
      <c r="N6" s="3" t="s">
        <v>26</v>
      </c>
      <c r="O6" s="3" t="s">
        <v>321</v>
      </c>
      <c r="P6" s="3" t="s">
        <v>322</v>
      </c>
      <c r="R6" s="12">
        <v>55</v>
      </c>
      <c r="S6" s="3">
        <v>5</v>
      </c>
      <c r="T6" s="3">
        <f>IF(R6=R5,T5, MAX(T$1:T5)+1)</f>
        <v>2</v>
      </c>
      <c r="U6" s="5" t="s">
        <v>170</v>
      </c>
      <c r="V6" s="5" t="s">
        <v>171</v>
      </c>
      <c r="W6" s="6">
        <v>37109</v>
      </c>
      <c r="X6" s="2">
        <v>3</v>
      </c>
      <c r="Y6" s="2">
        <v>16</v>
      </c>
      <c r="AA6" s="2">
        <v>14</v>
      </c>
      <c r="AB6" s="2">
        <v>9</v>
      </c>
      <c r="AC6" s="2" t="str">
        <f>IFERROR(INDEX('ringer measureables'!$A:$J,MATCH($A6,'ringer measureables'!$A:$A,FALSE),7), "")</f>
        <v>6'8</v>
      </c>
      <c r="AD6" s="2">
        <f>IFERROR(INDEX('ringer measureables'!$A:$J,MATCH($A6,'ringer measureables'!$A:$A,FALSE),9), "")</f>
        <v>225</v>
      </c>
      <c r="AE6" s="2" t="str">
        <f>IFERROR(INDEX('ringer measureables'!$A:$J,MATCH($A6,'ringer measureables'!$A:$A,FALSE),10), "")</f>
        <v>6'11</v>
      </c>
      <c r="AF6" s="2">
        <f>IFERROR(INDEX('ringer measureables'!$A:$J,MATCH($A6,'ringer measureables'!$A:$A,FALSE),8), "")</f>
        <v>0</v>
      </c>
      <c r="AG6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</v>
      </c>
    </row>
    <row r="7" spans="1:33">
      <c r="A7" t="s">
        <v>80</v>
      </c>
      <c r="B7" s="3" t="s">
        <v>20</v>
      </c>
      <c r="C7" s="3">
        <f>IFERROR(INDEX(actual!A:A,MATCH(A7,actual!B:B,FALSE)), "")</f>
        <v>11</v>
      </c>
      <c r="D7" s="3" t="str">
        <f>IFERROR(INDEX(actual!C:C,MATCH(A7,actual!B:B,FALSE)), "")</f>
        <v>SAS</v>
      </c>
      <c r="E7" s="3" t="s">
        <v>42</v>
      </c>
      <c r="F7" s="3" t="s">
        <v>44</v>
      </c>
      <c r="G7" s="4">
        <f t="shared" si="0"/>
        <v>20.236214313648809</v>
      </c>
      <c r="H7" s="3">
        <f t="shared" si="1"/>
        <v>79</v>
      </c>
      <c r="I7" s="3">
        <f t="shared" si="2"/>
        <v>194</v>
      </c>
      <c r="J7" s="3">
        <f t="shared" si="3"/>
        <v>82</v>
      </c>
      <c r="K7" s="3" t="str">
        <f t="shared" si="4"/>
        <v/>
      </c>
      <c r="L7" s="3" t="str">
        <f t="shared" si="5"/>
        <v>+3</v>
      </c>
      <c r="M7" s="4">
        <f t="shared" si="6"/>
        <v>1.1578947368421053</v>
      </c>
      <c r="N7" s="3" t="s">
        <v>26</v>
      </c>
      <c r="O7" s="3" t="s">
        <v>299</v>
      </c>
      <c r="P7" s="3" t="s">
        <v>300</v>
      </c>
      <c r="R7" s="12">
        <v>55</v>
      </c>
      <c r="S7" s="3">
        <v>6</v>
      </c>
      <c r="T7" s="3">
        <f>IF(R7=R6,T6, MAX(T$1:T6)+1)</f>
        <v>2</v>
      </c>
      <c r="U7" s="5" t="s">
        <v>155</v>
      </c>
      <c r="V7" s="5" t="s">
        <v>269</v>
      </c>
      <c r="W7" s="6">
        <v>36761</v>
      </c>
      <c r="X7" s="2">
        <v>3</v>
      </c>
      <c r="Y7" s="2">
        <v>7</v>
      </c>
      <c r="AA7" s="2">
        <v>11</v>
      </c>
      <c r="AB7" s="2">
        <v>11</v>
      </c>
      <c r="AC7" s="2" t="str">
        <f>IFERROR(INDEX('ringer measureables'!$A:$J,MATCH($A7,'ringer measureables'!$A:$A,FALSE),7), "")</f>
        <v>6'7</v>
      </c>
      <c r="AD7" s="2">
        <f>IFERROR(INDEX('ringer measureables'!$A:$J,MATCH($A7,'ringer measureables'!$A:$A,FALSE),9), "")</f>
        <v>194</v>
      </c>
      <c r="AE7" s="2" t="str">
        <f>IFERROR(INDEX('ringer measureables'!$A:$J,MATCH($A7,'ringer measureables'!$A:$A,FALSE),10), "")</f>
        <v>6'10</v>
      </c>
      <c r="AF7" s="2">
        <f>IFERROR(INDEX('ringer measureables'!$A:$J,MATCH($A7,'ringer measureables'!$A:$A,FALSE),8), "")</f>
        <v>0</v>
      </c>
      <c r="AG7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</v>
      </c>
    </row>
    <row r="8" spans="1:33">
      <c r="A8" s="3" t="s">
        <v>57</v>
      </c>
      <c r="B8" s="3" t="s">
        <v>21</v>
      </c>
      <c r="C8" s="3">
        <f>IFERROR(INDEX(actual!A:A,MATCH(A8,actual!B:B,FALSE)), "")</f>
        <v>7</v>
      </c>
      <c r="D8" s="3" t="str">
        <f>IFERROR(INDEX(actual!C:C,MATCH(A8,actual!B:B,FALSE)), "")</f>
        <v>DET</v>
      </c>
      <c r="E8" s="3" t="s">
        <v>62</v>
      </c>
      <c r="G8" s="4">
        <f t="shared" si="0"/>
        <v>19.312799452429843</v>
      </c>
      <c r="H8" s="3">
        <f t="shared" si="1"/>
        <v>77</v>
      </c>
      <c r="I8" s="3">
        <f t="shared" si="2"/>
        <v>215</v>
      </c>
      <c r="J8" s="3">
        <f t="shared" si="3"/>
        <v>80.25</v>
      </c>
      <c r="K8" s="3" t="str">
        <f t="shared" si="4"/>
        <v/>
      </c>
      <c r="L8" s="3" t="str">
        <f t="shared" si="5"/>
        <v>+3.25</v>
      </c>
      <c r="M8" s="4">
        <f t="shared" si="6"/>
        <v>1.1911764705882353</v>
      </c>
      <c r="N8" s="3" t="s">
        <v>26</v>
      </c>
      <c r="O8" s="3" t="s">
        <v>279</v>
      </c>
      <c r="P8" s="3" t="s">
        <v>280</v>
      </c>
      <c r="R8" s="12">
        <v>52</v>
      </c>
      <c r="S8" s="3">
        <v>7</v>
      </c>
      <c r="T8" s="3">
        <f>IF(R8=R7,T7, MAX(T$1:T7)+1)</f>
        <v>3</v>
      </c>
      <c r="U8" s="5" t="s">
        <v>61</v>
      </c>
      <c r="V8" s="5" t="s">
        <v>65</v>
      </c>
      <c r="W8" s="6">
        <v>37099</v>
      </c>
      <c r="X8" s="2">
        <v>3</v>
      </c>
      <c r="Y8" s="2">
        <v>1</v>
      </c>
      <c r="AA8" s="2">
        <v>9</v>
      </c>
      <c r="AB8" s="2">
        <v>10</v>
      </c>
      <c r="AC8" s="2" t="str">
        <f>IFERROR(INDEX('ringer measureables'!$A:$J,MATCH($A8,'ringer measureables'!$A:$A,FALSE),7), "")</f>
        <v>6'5</v>
      </c>
      <c r="AD8" s="2">
        <f>IFERROR(INDEX('ringer measureables'!$A:$J,MATCH($A8,'ringer measureables'!$A:$A,FALSE),9), "")</f>
        <v>215</v>
      </c>
      <c r="AE8" s="2" t="str">
        <f>IFERROR(INDEX('ringer measureables'!$A:$J,MATCH($A8,'ringer measureables'!$A:$A,FALSE),10), "")</f>
        <v>6'8.25</v>
      </c>
      <c r="AF8" s="2">
        <f>IFERROR(INDEX('ringer measureables'!$A:$J,MATCH($A8,'ringer measureables'!$A:$A,FALSE),8), "")</f>
        <v>0</v>
      </c>
      <c r="AG8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</v>
      </c>
    </row>
    <row r="9" spans="1:33">
      <c r="A9" t="s">
        <v>94</v>
      </c>
      <c r="B9" s="3" t="s">
        <v>21</v>
      </c>
      <c r="C9" s="3">
        <f>IFERROR(INDEX(actual!A:A,MATCH(A9,actual!B:B,FALSE)), "")</f>
        <v>13</v>
      </c>
      <c r="D9" s="3" t="str">
        <f>IFERROR(INDEX(actual!C:C,MATCH(A9,actual!B:B,FALSE)), "")</f>
        <v>NOP</v>
      </c>
      <c r="E9" s="3" t="s">
        <v>167</v>
      </c>
      <c r="F9" s="3" t="s">
        <v>44</v>
      </c>
      <c r="G9" s="4">
        <f t="shared" si="0"/>
        <v>19.619438740588638</v>
      </c>
      <c r="H9" s="3">
        <f t="shared" si="1"/>
        <v>75</v>
      </c>
      <c r="I9" s="3">
        <f t="shared" si="2"/>
        <v>165</v>
      </c>
      <c r="J9" s="3">
        <f t="shared" si="3"/>
        <v>78</v>
      </c>
      <c r="K9" s="3" t="str">
        <f t="shared" si="4"/>
        <v/>
      </c>
      <c r="L9" s="3" t="str">
        <f t="shared" si="5"/>
        <v>+3</v>
      </c>
      <c r="M9" s="4">
        <f t="shared" si="6"/>
        <v>1.2</v>
      </c>
      <c r="N9" s="3" t="s">
        <v>26</v>
      </c>
      <c r="O9" s="3" t="s">
        <v>318</v>
      </c>
      <c r="P9" s="3" t="s">
        <v>317</v>
      </c>
      <c r="R9" s="12">
        <v>52</v>
      </c>
      <c r="S9" s="3">
        <v>8</v>
      </c>
      <c r="T9" s="3">
        <f>IF(R9=R8,T8, MAX(T$1:T8)+1)</f>
        <v>3</v>
      </c>
      <c r="U9" s="5" t="s">
        <v>166</v>
      </c>
      <c r="V9" s="5" t="s">
        <v>165</v>
      </c>
      <c r="W9" s="6">
        <v>36987</v>
      </c>
      <c r="X9" s="2">
        <v>3</v>
      </c>
      <c r="Y9" s="2">
        <v>14</v>
      </c>
      <c r="AA9" s="2">
        <v>12</v>
      </c>
      <c r="AB9" s="2">
        <v>20</v>
      </c>
      <c r="AC9" s="2" t="str">
        <f>IFERROR(INDEX('ringer measureables'!$A:$J,MATCH($A9,'ringer measureables'!$A:$A,FALSE),7), "")</f>
        <v>6'3</v>
      </c>
      <c r="AD9" s="2">
        <f>IFERROR(INDEX('ringer measureables'!$A:$J,MATCH($A9,'ringer measureables'!$A:$A,FALSE),9), "")</f>
        <v>165</v>
      </c>
      <c r="AE9" s="2" t="str">
        <f>IFERROR(INDEX('ringer measureables'!$A:$J,MATCH($A9,'ringer measureables'!$A:$A,FALSE),10), "")</f>
        <v>6'6</v>
      </c>
      <c r="AF9" s="2">
        <f>IFERROR(INDEX('ringer measureables'!$A:$J,MATCH($A9,'ringer measureables'!$A:$A,FALSE),8), "")</f>
        <v>0</v>
      </c>
      <c r="AG9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</v>
      </c>
    </row>
    <row r="10" spans="1:33">
      <c r="A10" t="s">
        <v>85</v>
      </c>
      <c r="B10" s="3" t="s">
        <v>21</v>
      </c>
      <c r="C10" s="3">
        <f>IFERROR(INDEX(actual!A:A,MATCH(A10,actual!B:B,FALSE)), "")</f>
        <v>12</v>
      </c>
      <c r="D10" s="3" t="str">
        <f>IFERROR(INDEX(actual!C:C,MATCH(A10,actual!B:B,FALSE)), "")</f>
        <v>SAC</v>
      </c>
      <c r="E10" s="3" t="s">
        <v>43</v>
      </c>
      <c r="F10" s="3" t="s">
        <v>44</v>
      </c>
      <c r="G10" s="4">
        <f t="shared" si="0"/>
        <v>20.718028940164256</v>
      </c>
      <c r="H10" s="3">
        <f t="shared" si="1"/>
        <v>77</v>
      </c>
      <c r="I10" s="3">
        <f t="shared" si="2"/>
        <v>175</v>
      </c>
      <c r="J10" s="3">
        <f t="shared" si="3"/>
        <v>80</v>
      </c>
      <c r="K10" s="3" t="str">
        <f t="shared" si="4"/>
        <v/>
      </c>
      <c r="L10" s="3" t="str">
        <f t="shared" si="5"/>
        <v>+3</v>
      </c>
      <c r="M10" s="4">
        <f t="shared" si="6"/>
        <v>1.1764705882352942</v>
      </c>
      <c r="O10" s="3" t="s">
        <v>308</v>
      </c>
      <c r="P10" s="3" t="s">
        <v>307</v>
      </c>
      <c r="R10" s="12">
        <v>52</v>
      </c>
      <c r="S10" s="3">
        <v>9</v>
      </c>
      <c r="T10" s="3">
        <f>IF(R10=R9,T9, MAX(T$1:T9)+1)</f>
        <v>3</v>
      </c>
      <c r="U10" s="5" t="s">
        <v>158</v>
      </c>
      <c r="V10" s="5" t="s">
        <v>272</v>
      </c>
      <c r="W10" s="6">
        <v>36585</v>
      </c>
      <c r="X10" s="2">
        <v>4</v>
      </c>
      <c r="Y10" s="2">
        <v>10</v>
      </c>
      <c r="AA10" s="2">
        <v>8</v>
      </c>
      <c r="AB10" s="2">
        <v>8</v>
      </c>
      <c r="AC10" s="2" t="str">
        <f>IFERROR(INDEX('ringer measureables'!$A:$J,MATCH($A10,'ringer measureables'!$A:$A,FALSE),7), "")</f>
        <v>6'5</v>
      </c>
      <c r="AD10" s="2">
        <f>IFERROR(INDEX('ringer measureables'!$A:$J,MATCH($A10,'ringer measureables'!$A:$A,FALSE),9), "")</f>
        <v>175</v>
      </c>
      <c r="AE10" s="2" t="str">
        <f>IFERROR(INDEX('ringer measureables'!$A:$J,MATCH($A10,'ringer measureables'!$A:$A,FALSE),10), "")</f>
        <v>6'8</v>
      </c>
      <c r="AF10" s="2">
        <f>IFERROR(INDEX('ringer measureables'!$A:$J,MATCH($A10,'ringer measureables'!$A:$A,FALSE),8), "")</f>
        <v>0</v>
      </c>
      <c r="AG10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</v>
      </c>
    </row>
    <row r="11" spans="1:33">
      <c r="A11" t="s">
        <v>89</v>
      </c>
      <c r="B11" s="3" t="s">
        <v>19</v>
      </c>
      <c r="C11" s="3">
        <f>IFERROR(INDEX(actual!A:A,MATCH(A11,actual!B:B,FALSE)), "")</f>
        <v>17</v>
      </c>
      <c r="D11" s="3" t="str">
        <f>IFERROR(INDEX(actual!C:C,MATCH(A11,actual!B:B,FALSE)), "")</f>
        <v>OKC</v>
      </c>
      <c r="E11" s="3" t="s">
        <v>163</v>
      </c>
      <c r="G11" s="4">
        <f t="shared" si="0"/>
        <v>18.896646132785762</v>
      </c>
      <c r="H11" s="3">
        <f t="shared" si="1"/>
        <v>84</v>
      </c>
      <c r="I11" s="3">
        <f t="shared" si="2"/>
        <v>201</v>
      </c>
      <c r="J11" s="3">
        <f t="shared" si="3"/>
        <v>87</v>
      </c>
      <c r="K11" s="3" t="str">
        <f t="shared" si="4"/>
        <v/>
      </c>
      <c r="L11" s="3" t="str">
        <f t="shared" si="5"/>
        <v>+3</v>
      </c>
      <c r="M11" s="4">
        <f t="shared" si="6"/>
        <v>1.125</v>
      </c>
      <c r="N11" s="3" t="s">
        <v>26</v>
      </c>
      <c r="O11" s="3" t="s">
        <v>313</v>
      </c>
      <c r="P11" s="3" t="s">
        <v>314</v>
      </c>
      <c r="R11" s="12">
        <v>50</v>
      </c>
      <c r="S11" s="3">
        <v>10</v>
      </c>
      <c r="T11" s="3">
        <f>IF(R11=R10,T10, MAX(T$1:T10)+1)</f>
        <v>4</v>
      </c>
      <c r="U11" s="5" t="s">
        <v>161</v>
      </c>
      <c r="V11" s="5" t="s">
        <v>162</v>
      </c>
      <c r="W11" s="6">
        <v>37251</v>
      </c>
      <c r="X11" s="2">
        <v>3</v>
      </c>
      <c r="Y11" s="2">
        <v>12</v>
      </c>
      <c r="AA11" s="2">
        <v>13</v>
      </c>
      <c r="AB11" s="2">
        <v>18</v>
      </c>
      <c r="AC11" s="2" t="str">
        <f>IFERROR(INDEX('ringer measureables'!$A:$J,MATCH($A11,'ringer measureables'!$A:$A,FALSE),7), "")</f>
        <v>7'0</v>
      </c>
      <c r="AD11" s="2">
        <f>IFERROR(INDEX('ringer measureables'!$A:$J,MATCH($A11,'ringer measureables'!$A:$A,FALSE),9), "")</f>
        <v>201</v>
      </c>
      <c r="AE11" s="2" t="str">
        <f>IFERROR(INDEX('ringer measureables'!$A:$J,MATCH($A11,'ringer measureables'!$A:$A,FALSE),10), "")</f>
        <v>7'3</v>
      </c>
      <c r="AF11" s="2">
        <f>IFERROR(INDEX('ringer measureables'!$A:$J,MATCH($A11,'ringer measureables'!$A:$A,FALSE),8), "")</f>
        <v>0</v>
      </c>
      <c r="AG11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</v>
      </c>
    </row>
    <row r="12" spans="1:33">
      <c r="A12" t="s">
        <v>73</v>
      </c>
      <c r="B12" s="3" t="s">
        <v>20</v>
      </c>
      <c r="C12" s="3">
        <f>IFERROR(INDEX(actual!A:A,MATCH(A12,actual!B:B,FALSE)), "")</f>
        <v>9</v>
      </c>
      <c r="D12" s="3" t="str">
        <f>IFERROR(INDEX(actual!C:C,MATCH(A12,actual!B:B,FALSE)), "")</f>
        <v>WAS</v>
      </c>
      <c r="E12" s="3" t="s">
        <v>146</v>
      </c>
      <c r="G12" s="4">
        <f t="shared" si="0"/>
        <v>19.874058863791923</v>
      </c>
      <c r="H12" s="3">
        <f t="shared" si="1"/>
        <v>81</v>
      </c>
      <c r="I12" s="3">
        <f t="shared" si="2"/>
        <v>215</v>
      </c>
      <c r="J12" s="3">
        <f t="shared" si="3"/>
        <v>81</v>
      </c>
      <c r="K12" s="3" t="str">
        <f t="shared" si="4"/>
        <v/>
      </c>
      <c r="L12" s="3" t="str">
        <f t="shared" si="5"/>
        <v>+0</v>
      </c>
      <c r="M12" s="4">
        <f t="shared" si="6"/>
        <v>1</v>
      </c>
      <c r="O12" s="3" t="s">
        <v>290</v>
      </c>
      <c r="P12" s="3" t="s">
        <v>291</v>
      </c>
      <c r="Q12" s="3" t="s">
        <v>289</v>
      </c>
      <c r="R12" s="12">
        <v>50</v>
      </c>
      <c r="S12" s="3">
        <v>11</v>
      </c>
      <c r="T12" s="3">
        <f>IF(R12=R11,T11, MAX(T$1:T11)+1)</f>
        <v>4</v>
      </c>
      <c r="U12" s="5" t="s">
        <v>145</v>
      </c>
      <c r="V12" s="5" t="s">
        <v>273</v>
      </c>
      <c r="W12" s="6">
        <v>36894</v>
      </c>
      <c r="X12" s="2">
        <v>3</v>
      </c>
      <c r="Y12" s="2">
        <v>4</v>
      </c>
      <c r="Z12" s="2" t="s">
        <v>56</v>
      </c>
      <c r="AA12" s="2">
        <v>10</v>
      </c>
      <c r="AB12" s="2">
        <v>4</v>
      </c>
      <c r="AC12" s="2" t="str">
        <f>IFERROR(INDEX('ringer measureables'!$A:$J,MATCH($A12,'ringer measureables'!$A:$A,FALSE),7), "")</f>
        <v>6'9</v>
      </c>
      <c r="AD12" s="2">
        <f>IFERROR(INDEX('ringer measureables'!$A:$J,MATCH($A12,'ringer measureables'!$A:$A,FALSE),9), "")</f>
        <v>215</v>
      </c>
      <c r="AE12" s="2" t="str">
        <f>IFERROR(INDEX('ringer measureables'!$A:$J,MATCH($A12,'ringer measureables'!$A:$A,FALSE),10), "")</f>
        <v>6'9</v>
      </c>
      <c r="AF12" s="2">
        <f>IFERROR(INDEX('ringer measureables'!$A:$J,MATCH($A12,'ringer measureables'!$A:$A,FALSE),8), "")</f>
        <v>0</v>
      </c>
      <c r="AG12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</v>
      </c>
    </row>
    <row r="13" spans="1:33">
      <c r="A13" t="s">
        <v>83</v>
      </c>
      <c r="B13" s="3" t="s">
        <v>20</v>
      </c>
      <c r="C13" s="3">
        <f>IFERROR(INDEX(actual!A:A,MATCH(A13,actual!B:B,FALSE)), "")</f>
        <v>5</v>
      </c>
      <c r="D13" s="3" t="str">
        <f>IFERROR(INDEX(actual!C:C,MATCH(A13,actual!B:B,FALSE)), "")</f>
        <v>CLE</v>
      </c>
      <c r="E13" s="3" t="s">
        <v>34</v>
      </c>
      <c r="F13" s="3" t="s">
        <v>28</v>
      </c>
      <c r="G13" s="4">
        <f t="shared" si="0"/>
        <v>19.811088295687885</v>
      </c>
      <c r="H13" s="3">
        <f t="shared" si="1"/>
        <v>78</v>
      </c>
      <c r="I13" s="3">
        <f t="shared" si="2"/>
        <v>225</v>
      </c>
      <c r="J13" s="3">
        <f t="shared" si="3"/>
        <v>81</v>
      </c>
      <c r="K13" s="3" t="str">
        <f t="shared" si="4"/>
        <v/>
      </c>
      <c r="L13" s="3" t="str">
        <f t="shared" si="5"/>
        <v>+3</v>
      </c>
      <c r="M13" s="4">
        <f t="shared" si="6"/>
        <v>1.1666666666666667</v>
      </c>
      <c r="N13" s="3" t="s">
        <v>305</v>
      </c>
      <c r="O13" s="3" t="s">
        <v>306</v>
      </c>
      <c r="Q13" s="3" t="s">
        <v>302</v>
      </c>
      <c r="R13" s="12">
        <v>50</v>
      </c>
      <c r="S13" s="3">
        <v>12</v>
      </c>
      <c r="T13" s="3">
        <f>IF(R13=R12,T12, MAX(T$1:T12)+1)</f>
        <v>4</v>
      </c>
      <c r="U13" s="5" t="s">
        <v>157</v>
      </c>
      <c r="V13" s="5" t="s">
        <v>271</v>
      </c>
      <c r="W13" s="6">
        <v>36917</v>
      </c>
      <c r="X13" s="2">
        <v>3</v>
      </c>
      <c r="Y13" s="2">
        <v>9</v>
      </c>
      <c r="Z13" s="2" t="s">
        <v>56</v>
      </c>
      <c r="AA13" s="2">
        <v>6</v>
      </c>
      <c r="AB13" s="2">
        <v>7</v>
      </c>
      <c r="AC13" s="2" t="str">
        <f>IFERROR(INDEX('ringer measureables'!$A:$J,MATCH($A13,'ringer measureables'!$A:$A,FALSE),7), "")</f>
        <v>6'6</v>
      </c>
      <c r="AD13" s="2">
        <f>IFERROR(INDEX('ringer measureables'!$A:$J,MATCH($A13,'ringer measureables'!$A:$A,FALSE),9), "")</f>
        <v>225</v>
      </c>
      <c r="AE13" s="2" t="str">
        <f>IFERROR(INDEX('ringer measureables'!$A:$J,MATCH($A13,'ringer measureables'!$A:$A,FALSE),10), "")</f>
        <v>6'9</v>
      </c>
      <c r="AF13" s="2">
        <f>IFERROR(INDEX('ringer measureables'!$A:$J,MATCH($A13,'ringer measureables'!$A:$A,FALSE),8), "")</f>
        <v>0</v>
      </c>
      <c r="AG13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</v>
      </c>
    </row>
    <row r="14" spans="1:33">
      <c r="A14" t="s">
        <v>92</v>
      </c>
      <c r="B14" s="3" t="s">
        <v>21</v>
      </c>
      <c r="C14" s="3">
        <f>IFERROR(INDEX(actual!A:A,MATCH(A14,actual!B:B,FALSE)), "")</f>
        <v>21</v>
      </c>
      <c r="D14" s="3" t="str">
        <f>IFERROR(INDEX(actual!C:C,MATCH(A14,actual!B:B,FALSE)), "")</f>
        <v>PHI</v>
      </c>
      <c r="E14" s="3" t="s">
        <v>31</v>
      </c>
      <c r="F14" s="3" t="s">
        <v>28</v>
      </c>
      <c r="G14" s="4">
        <f t="shared" si="0"/>
        <v>20.036370746969105</v>
      </c>
      <c r="H14" s="3">
        <f t="shared" si="1"/>
        <v>75</v>
      </c>
      <c r="I14" s="3">
        <f t="shared" si="2"/>
        <v>198</v>
      </c>
      <c r="J14" s="3">
        <f t="shared" si="3"/>
        <v>78</v>
      </c>
      <c r="K14" s="3" t="str">
        <f t="shared" si="4"/>
        <v/>
      </c>
      <c r="L14" s="3" t="str">
        <f t="shared" si="5"/>
        <v>+3</v>
      </c>
      <c r="M14" s="4">
        <f t="shared" si="6"/>
        <v>1.2</v>
      </c>
      <c r="O14" s="3" t="s">
        <v>316</v>
      </c>
      <c r="P14" s="3" t="s">
        <v>315</v>
      </c>
      <c r="R14" s="12">
        <v>50</v>
      </c>
      <c r="S14" s="3">
        <v>13</v>
      </c>
      <c r="T14" s="3">
        <f>IF(R14=R13,T13, MAX(T$1:T13)+1)</f>
        <v>4</v>
      </c>
      <c r="U14" s="5" t="s">
        <v>164</v>
      </c>
      <c r="V14" s="5" t="s">
        <v>275</v>
      </c>
      <c r="W14" s="6">
        <v>36834</v>
      </c>
      <c r="X14" s="2">
        <v>4</v>
      </c>
      <c r="Y14" s="2">
        <v>13</v>
      </c>
      <c r="AA14" s="2">
        <v>16</v>
      </c>
      <c r="AB14" s="2">
        <v>15</v>
      </c>
      <c r="AC14" s="2" t="str">
        <f>IFERROR(INDEX('ringer measureables'!$A:$J,MATCH($A14,'ringer measureables'!$A:$A,FALSE),7), "")</f>
        <v>6'3</v>
      </c>
      <c r="AD14" s="2">
        <f>IFERROR(INDEX('ringer measureables'!$A:$J,MATCH($A14,'ringer measureables'!$A:$A,FALSE),9), "")</f>
        <v>198</v>
      </c>
      <c r="AE14" s="2" t="str">
        <f>IFERROR(INDEX('ringer measureables'!$A:$J,MATCH($A14,'ringer measureables'!$A:$A,FALSE),10), "")</f>
        <v>6'6</v>
      </c>
      <c r="AF14" s="2">
        <f>IFERROR(INDEX('ringer measureables'!$A:$J,MATCH($A14,'ringer measureables'!$A:$A,FALSE),8), "")</f>
        <v>0</v>
      </c>
      <c r="AG14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</v>
      </c>
    </row>
    <row r="15" spans="1:33">
      <c r="A15" t="s">
        <v>81</v>
      </c>
      <c r="B15" s="3" t="s">
        <v>21</v>
      </c>
      <c r="C15" s="3">
        <f>IFERROR(INDEX(actual!A:A,MATCH(A15,actual!B:B,FALSE)), "")</f>
        <v>31</v>
      </c>
      <c r="D15" s="3" t="str">
        <f>IFERROR(INDEX(actual!C:C,MATCH(A15,actual!B:B,FALSE)), "")</f>
        <v>DAL</v>
      </c>
      <c r="E15" s="3" t="s">
        <v>40</v>
      </c>
      <c r="F15" s="3" t="s">
        <v>28</v>
      </c>
      <c r="G15" s="4">
        <f t="shared" si="0"/>
        <v>20.137661321861557</v>
      </c>
      <c r="H15" s="3">
        <f t="shared" si="1"/>
        <v>74</v>
      </c>
      <c r="I15" s="3">
        <f t="shared" si="2"/>
        <v>174</v>
      </c>
      <c r="J15" s="3" t="str">
        <f t="shared" si="3"/>
        <v/>
      </c>
      <c r="K15" s="3" t="str">
        <f t="shared" si="4"/>
        <v/>
      </c>
      <c r="L15" s="3" t="str">
        <f>IFERROR(IF(J15-H15&gt;= 0, "+", ""),"") &amp; IFERROR(IF(J15-H15&gt;= -5, J15-H15, ""),"")</f>
        <v/>
      </c>
      <c r="M15" s="4" t="str">
        <f t="shared" si="6"/>
        <v/>
      </c>
      <c r="N15" s="3" t="s">
        <v>302</v>
      </c>
      <c r="O15" s="3" t="s">
        <v>304</v>
      </c>
      <c r="P15" s="3" t="s">
        <v>284</v>
      </c>
      <c r="Q15" s="3" t="s">
        <v>303</v>
      </c>
      <c r="R15" s="12">
        <v>50</v>
      </c>
      <c r="S15" s="3">
        <v>14</v>
      </c>
      <c r="T15" s="3">
        <f>IF(R15=R14,T14, MAX(T$1:T14)+1)</f>
        <v>4</v>
      </c>
      <c r="U15" s="5" t="s">
        <v>156</v>
      </c>
      <c r="V15" s="5" t="s">
        <v>270</v>
      </c>
      <c r="W15" s="6">
        <v>36797</v>
      </c>
      <c r="X15" s="2">
        <v>4</v>
      </c>
      <c r="Y15" s="2">
        <v>8</v>
      </c>
      <c r="AA15" s="2">
        <v>23</v>
      </c>
      <c r="AB15" s="2">
        <v>40</v>
      </c>
      <c r="AC15" s="2" t="str">
        <f>IFERROR(INDEX('ringer measureables'!$A:$J,MATCH($A15,'ringer measureables'!$A:$A,FALSE),7), "")</f>
        <v>6'2</v>
      </c>
      <c r="AD15" s="2">
        <f>IFERROR(INDEX('ringer measureables'!$A:$J,MATCH($A15,'ringer measureables'!$A:$A,FALSE),9), "")</f>
        <v>174</v>
      </c>
      <c r="AE15" s="2">
        <f>IFERROR(INDEX('ringer measureables'!$A:$J,MATCH($A15,'ringer measureables'!$A:$A,FALSE),10), "")</f>
        <v>0</v>
      </c>
      <c r="AF15" s="2">
        <f>IFERROR(INDEX('ringer measureables'!$A:$J,MATCH($A15,'ringer measureables'!$A:$A,FALSE),8), "")</f>
        <v>0</v>
      </c>
      <c r="AG15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</v>
      </c>
    </row>
    <row r="16" spans="1:33">
      <c r="A16" t="s">
        <v>108</v>
      </c>
      <c r="B16" s="3" t="s">
        <v>22</v>
      </c>
      <c r="C16" s="3">
        <f>IFERROR(INDEX(actual!A:A,MATCH(A16,actual!B:B,FALSE)), "")</f>
        <v>18</v>
      </c>
      <c r="D16" s="3" t="str">
        <f>IFERROR(INDEX(actual!C:C,MATCH(A16,actual!B:B,FALSE)), "")</f>
        <v>DAL</v>
      </c>
      <c r="E16" s="3" t="s">
        <v>193</v>
      </c>
      <c r="F16" s="3" t="s">
        <v>28</v>
      </c>
      <c r="G16" s="4">
        <f t="shared" si="0"/>
        <v>20.003519749706687</v>
      </c>
      <c r="H16" s="3">
        <f t="shared" si="1"/>
        <v>78</v>
      </c>
      <c r="I16" s="3">
        <f t="shared" si="2"/>
        <v>210</v>
      </c>
      <c r="J16" s="3">
        <f t="shared" si="3"/>
        <v>82.25</v>
      </c>
      <c r="K16" s="3" t="str">
        <f t="shared" si="4"/>
        <v/>
      </c>
      <c r="L16" s="3" t="str">
        <f t="shared" ref="L16:L34" si="8">IFERROR(IF(AND(J16-H16&gt;= 0, J16 &gt; 0), "+", ""),"") &amp; IFERROR(IF(AND(J16-H16&gt;= -5, J16 &gt; 0), J16-H16, ""),"")</f>
        <v>+4.25</v>
      </c>
      <c r="M16" s="4">
        <f t="shared" si="6"/>
        <v>1.2361111111111112</v>
      </c>
      <c r="O16" s="3" t="s">
        <v>338</v>
      </c>
      <c r="P16" s="3" t="s">
        <v>339</v>
      </c>
      <c r="R16" s="12">
        <v>50</v>
      </c>
      <c r="S16" s="3">
        <v>15</v>
      </c>
      <c r="T16" s="3">
        <f>IF(R16=R15,T15, MAX(T$1:T15)+1)</f>
        <v>4</v>
      </c>
      <c r="U16" s="5" t="s">
        <v>191</v>
      </c>
      <c r="V16" s="5" t="s">
        <v>192</v>
      </c>
      <c r="W16" s="6">
        <v>36846</v>
      </c>
      <c r="X16" s="2">
        <v>3</v>
      </c>
      <c r="Y16" s="2">
        <v>25</v>
      </c>
      <c r="AA16" s="2">
        <v>29</v>
      </c>
      <c r="AB16" s="2">
        <v>21</v>
      </c>
      <c r="AC16" s="2" t="str">
        <f>IFERROR(INDEX('ringer measureables'!$A:$J,MATCH($A16,'ringer measureables'!$A:$A,FALSE),7), "")</f>
        <v>6'6</v>
      </c>
      <c r="AD16" s="2">
        <f>IFERROR(INDEX('ringer measureables'!$A:$J,MATCH($A16,'ringer measureables'!$A:$A,FALSE),9), "")</f>
        <v>210</v>
      </c>
      <c r="AE16" s="2" t="str">
        <f>IFERROR(INDEX('ringer measureables'!$A:$J,MATCH($A16,'ringer measureables'!$A:$A,FALSE),10), "")</f>
        <v>6'10.25</v>
      </c>
      <c r="AF16" s="2">
        <f>IFERROR(INDEX('ringer measureables'!$A:$J,MATCH($A16,'ringer measureables'!$A:$A,FALSE),8), "")</f>
        <v>0</v>
      </c>
      <c r="AG16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</v>
      </c>
    </row>
    <row r="17" spans="1:33">
      <c r="A17" t="s">
        <v>100</v>
      </c>
      <c r="B17" s="3" t="s">
        <v>20</v>
      </c>
      <c r="C17" s="3">
        <f>IFERROR(INDEX(actual!A:A,MATCH(A17,actual!B:B,FALSE)), "")</f>
        <v>19</v>
      </c>
      <c r="D17" s="3" t="str">
        <f>IFERROR(INDEX(actual!C:C,MATCH(A17,actual!B:B,FALSE)), "")</f>
        <v>DET</v>
      </c>
      <c r="E17" s="3" t="s">
        <v>173</v>
      </c>
      <c r="F17" s="3" t="s">
        <v>44</v>
      </c>
      <c r="G17" s="4">
        <f t="shared" si="0"/>
        <v>21.611249377799901</v>
      </c>
      <c r="H17" s="3">
        <f t="shared" si="1"/>
        <v>80</v>
      </c>
      <c r="I17" s="3">
        <f t="shared" si="2"/>
        <v>216</v>
      </c>
      <c r="J17" s="3">
        <f t="shared" si="3"/>
        <v>82</v>
      </c>
      <c r="K17" s="3" t="str">
        <f t="shared" si="4"/>
        <v/>
      </c>
      <c r="L17" s="3" t="str">
        <f t="shared" si="8"/>
        <v>+2</v>
      </c>
      <c r="M17" s="4">
        <f t="shared" si="6"/>
        <v>1.1000000000000001</v>
      </c>
      <c r="O17" s="3" t="s">
        <v>388</v>
      </c>
      <c r="P17" s="11" t="s">
        <v>389</v>
      </c>
      <c r="Q17" s="3" t="s">
        <v>26</v>
      </c>
      <c r="R17" s="12">
        <v>50</v>
      </c>
      <c r="S17" s="3">
        <v>16</v>
      </c>
      <c r="T17" s="3">
        <f>IF(R17=R16,T16, MAX(T$1:T16)+1)</f>
        <v>4</v>
      </c>
      <c r="U17" s="5" t="s">
        <v>174</v>
      </c>
      <c r="V17" s="5" t="s">
        <v>277</v>
      </c>
      <c r="W17" s="6">
        <v>36259</v>
      </c>
      <c r="X17" s="2">
        <v>4</v>
      </c>
      <c r="Y17" s="2">
        <v>18</v>
      </c>
      <c r="AA17" s="2">
        <v>15</v>
      </c>
      <c r="AB17" s="2">
        <v>17</v>
      </c>
      <c r="AC17" s="2" t="str">
        <f>IFERROR(INDEX('ringer measureables'!$A:$J,MATCH($A17,'ringer measureables'!$A:$A,FALSE),7), "")</f>
        <v>6'8</v>
      </c>
      <c r="AD17" s="2">
        <f>IFERROR(INDEX('ringer measureables'!$A:$J,MATCH($A17,'ringer measureables'!$A:$A,FALSE),9), "")</f>
        <v>216</v>
      </c>
      <c r="AE17" s="2" t="str">
        <f>IFERROR(INDEX('ringer measureables'!$A:$J,MATCH($A17,'ringer measureables'!$A:$A,FALSE),10), "")</f>
        <v>6'10</v>
      </c>
      <c r="AF17" s="2">
        <f>IFERROR(INDEX('ringer measureables'!$A:$J,MATCH($A17,'ringer measureables'!$A:$A,FALSE),8), "")</f>
        <v>0</v>
      </c>
      <c r="AG17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</v>
      </c>
    </row>
    <row r="18" spans="1:33">
      <c r="A18" t="s">
        <v>101</v>
      </c>
      <c r="B18" s="3" t="s">
        <v>20</v>
      </c>
      <c r="C18" s="3">
        <f>IFERROR(INDEX(actual!A:A,MATCH(A18,actual!B:B,FALSE)), "")</f>
        <v>14</v>
      </c>
      <c r="D18" s="3" t="str">
        <f>IFERROR(INDEX(actual!C:C,MATCH(A18,actual!B:B,FALSE)), "")</f>
        <v>BOS</v>
      </c>
      <c r="E18" s="3" t="s">
        <v>36</v>
      </c>
      <c r="F18" s="3" t="s">
        <v>44</v>
      </c>
      <c r="G18" s="4">
        <f t="shared" si="0"/>
        <v>21.091090094574415</v>
      </c>
      <c r="H18" s="3">
        <f t="shared" si="1"/>
        <v>78</v>
      </c>
      <c r="I18" s="3">
        <f t="shared" si="2"/>
        <v>213</v>
      </c>
      <c r="J18" s="3">
        <f t="shared" si="3"/>
        <v>82</v>
      </c>
      <c r="K18" s="3" t="str">
        <f t="shared" si="4"/>
        <v/>
      </c>
      <c r="L18" s="3" t="str">
        <f t="shared" si="8"/>
        <v>+4</v>
      </c>
      <c r="M18" s="4">
        <f t="shared" si="6"/>
        <v>1.2222222222222223</v>
      </c>
      <c r="N18" s="3" t="s">
        <v>302</v>
      </c>
      <c r="O18" s="3" t="s">
        <v>327</v>
      </c>
      <c r="P18" s="3" t="s">
        <v>326</v>
      </c>
      <c r="R18" s="12">
        <v>50</v>
      </c>
      <c r="S18" s="3">
        <v>17</v>
      </c>
      <c r="T18" s="3">
        <f>IF(R18=R17,T17, MAX(T$1:T17)+1)</f>
        <v>4</v>
      </c>
      <c r="U18" s="5" t="s">
        <v>176</v>
      </c>
      <c r="V18" s="5" t="s">
        <v>175</v>
      </c>
      <c r="W18" s="6">
        <v>36449</v>
      </c>
      <c r="X18" s="2">
        <v>4</v>
      </c>
      <c r="Y18" s="2">
        <v>19</v>
      </c>
      <c r="AA18" s="2">
        <v>17</v>
      </c>
      <c r="AB18" s="2">
        <v>13</v>
      </c>
      <c r="AC18" s="2" t="str">
        <f>IFERROR(INDEX('ringer measureables'!$A:$J,MATCH($A18,'ringer measureables'!$A:$A,FALSE),7), "")</f>
        <v>6'6</v>
      </c>
      <c r="AD18" s="2">
        <f>IFERROR(INDEX('ringer measureables'!$A:$J,MATCH($A18,'ringer measureables'!$A:$A,FALSE),9), "")</f>
        <v>213</v>
      </c>
      <c r="AE18" s="2" t="str">
        <f>IFERROR(INDEX('ringer measureables'!$A:$J,MATCH($A18,'ringer measureables'!$A:$A,FALSE),10), "")</f>
        <v>6'10</v>
      </c>
      <c r="AF18" s="2">
        <f>IFERROR(INDEX('ringer measureables'!$A:$J,MATCH($A18,'ringer measureables'!$A:$A,FALSE),8), "")</f>
        <v>0</v>
      </c>
      <c r="AG18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</v>
      </c>
    </row>
    <row r="19" spans="1:33">
      <c r="A19" t="s">
        <v>95</v>
      </c>
      <c r="B19" s="3" t="s">
        <v>21</v>
      </c>
      <c r="C19" s="3">
        <f>IFERROR(INDEX(actual!A:A,MATCH(A19,actual!B:B,FALSE)), "")</f>
        <v>15</v>
      </c>
      <c r="D19" s="3" t="str">
        <f>IFERROR(INDEX(actual!C:C,MATCH(A19,actual!B:B,FALSE)), "")</f>
        <v>ORL</v>
      </c>
      <c r="E19" s="3" t="s">
        <v>33</v>
      </c>
      <c r="F19" s="3" t="s">
        <v>28</v>
      </c>
      <c r="G19" s="4">
        <f t="shared" si="0"/>
        <v>20.509972624168949</v>
      </c>
      <c r="H19" s="3">
        <f t="shared" si="1"/>
        <v>75</v>
      </c>
      <c r="I19" s="3">
        <f t="shared" si="2"/>
        <v>190</v>
      </c>
      <c r="J19" s="3">
        <f t="shared" si="3"/>
        <v>76.5</v>
      </c>
      <c r="K19" s="3" t="str">
        <f t="shared" si="4"/>
        <v/>
      </c>
      <c r="L19" s="3" t="str">
        <f t="shared" si="8"/>
        <v>+1.5</v>
      </c>
      <c r="M19" s="4">
        <f t="shared" si="6"/>
        <v>1.1000000000000001</v>
      </c>
      <c r="O19" s="3" t="s">
        <v>319</v>
      </c>
      <c r="P19" s="3" t="s">
        <v>320</v>
      </c>
      <c r="R19" s="12">
        <v>47</v>
      </c>
      <c r="S19" s="3">
        <v>18</v>
      </c>
      <c r="T19" s="3">
        <f>IF(R19=R18,T18, MAX(T$1:T18)+1)</f>
        <v>5</v>
      </c>
      <c r="U19" s="5" t="s">
        <v>168</v>
      </c>
      <c r="V19" s="5" t="s">
        <v>169</v>
      </c>
      <c r="W19" s="6">
        <v>36661</v>
      </c>
      <c r="X19" s="2">
        <v>4</v>
      </c>
      <c r="Y19" s="2">
        <v>15</v>
      </c>
      <c r="AA19" s="2">
        <v>18</v>
      </c>
      <c r="AB19" s="2">
        <v>16</v>
      </c>
      <c r="AC19" s="2" t="str">
        <f>IFERROR(INDEX('ringer measureables'!$A:$J,MATCH($A19,'ringer measureables'!$A:$A,FALSE),7), "")</f>
        <v>6'3</v>
      </c>
      <c r="AD19" s="2">
        <f>IFERROR(INDEX('ringer measureables'!$A:$J,MATCH($A19,'ringer measureables'!$A:$A,FALSE),9), "")</f>
        <v>190</v>
      </c>
      <c r="AE19" s="2" t="str">
        <f>IFERROR(INDEX('ringer measureables'!$A:$J,MATCH($A19,'ringer measureables'!$A:$A,FALSE),10), "")</f>
        <v>6'4.5</v>
      </c>
      <c r="AF19" s="2">
        <f>IFERROR(INDEX('ringer measureables'!$A:$J,MATCH($A19,'ringer measureables'!$A:$A,FALSE),8), "")</f>
        <v>0</v>
      </c>
      <c r="AG19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</v>
      </c>
    </row>
    <row r="20" spans="1:33">
      <c r="A20" t="s">
        <v>98</v>
      </c>
      <c r="B20" s="3" t="s">
        <v>19</v>
      </c>
      <c r="C20" s="3">
        <f>IFERROR(INDEX(actual!A:A,MATCH(A20,actual!B:B,FALSE)), "")</f>
        <v>10</v>
      </c>
      <c r="D20" s="3" t="str">
        <f>IFERROR(INDEX(actual!C:C,MATCH(A20,actual!B:B,FALSE)), "")</f>
        <v>PHX</v>
      </c>
      <c r="E20" s="3" t="s">
        <v>30</v>
      </c>
      <c r="F20" s="3" t="s">
        <v>44</v>
      </c>
      <c r="G20" s="4">
        <f t="shared" si="0"/>
        <v>20.674227610481033</v>
      </c>
      <c r="H20" s="3">
        <f t="shared" si="1"/>
        <v>82</v>
      </c>
      <c r="I20" s="3">
        <f t="shared" si="2"/>
        <v>225</v>
      </c>
      <c r="J20" s="3">
        <f t="shared" si="3"/>
        <v>85.5</v>
      </c>
      <c r="K20" s="3" t="str">
        <f t="shared" si="4"/>
        <v/>
      </c>
      <c r="L20" s="3" t="str">
        <f t="shared" si="8"/>
        <v>+3.5</v>
      </c>
      <c r="M20" s="4">
        <f t="shared" si="6"/>
        <v>1.1590909090909092</v>
      </c>
      <c r="O20" s="3" t="s">
        <v>324</v>
      </c>
      <c r="P20" s="3" t="s">
        <v>325</v>
      </c>
      <c r="R20" s="12">
        <v>47</v>
      </c>
      <c r="S20" s="3">
        <v>19</v>
      </c>
      <c r="T20" s="3">
        <f>IF(R20=R19,T19, MAX(T$1:T19)+1)</f>
        <v>5</v>
      </c>
      <c r="U20" s="5" t="s">
        <v>172</v>
      </c>
      <c r="V20" s="5" t="s">
        <v>276</v>
      </c>
      <c r="W20" s="6">
        <v>36601</v>
      </c>
      <c r="X20" s="2">
        <v>5</v>
      </c>
      <c r="Y20" s="2">
        <v>17</v>
      </c>
      <c r="AA20" s="2">
        <v>27</v>
      </c>
      <c r="AB20" s="2">
        <v>19</v>
      </c>
      <c r="AC20" s="2" t="str">
        <f>IFERROR(INDEX('ringer measureables'!$A:$J,MATCH($A20,'ringer measureables'!$A:$A,FALSE),7), "")</f>
        <v>6'10</v>
      </c>
      <c r="AD20" s="2">
        <f>IFERROR(INDEX('ringer measureables'!$A:$J,MATCH($A20,'ringer measureables'!$A:$A,FALSE),9), "")</f>
        <v>225</v>
      </c>
      <c r="AE20" s="2" t="str">
        <f>IFERROR(INDEX('ringer measureables'!$A:$J,MATCH($A20,'ringer measureables'!$A:$A,FALSE),10), "")</f>
        <v>7'1.5</v>
      </c>
      <c r="AF20" s="2">
        <f>IFERROR(INDEX('ringer measureables'!$A:$J,MATCH($A20,'ringer measureables'!$A:$A,FALSE),8), "")</f>
        <v>0</v>
      </c>
      <c r="AG20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</v>
      </c>
    </row>
    <row r="21" spans="1:33">
      <c r="A21" t="s">
        <v>87</v>
      </c>
      <c r="B21" s="3" t="s">
        <v>19</v>
      </c>
      <c r="C21" s="3">
        <f>IFERROR(INDEX(actual!A:A,MATCH(A21,actual!B:B,FALSE)), "")</f>
        <v>8</v>
      </c>
      <c r="D21" s="3" t="str">
        <f>IFERROR(INDEX(actual!C:C,MATCH(A21,actual!B:B,FALSE)), "")</f>
        <v>NYK</v>
      </c>
      <c r="E21" s="3" t="s">
        <v>160</v>
      </c>
      <c r="F21" s="3" t="s">
        <v>44</v>
      </c>
      <c r="G21" s="4">
        <f t="shared" si="0"/>
        <v>22.709796452803239</v>
      </c>
      <c r="H21" s="3">
        <f t="shared" si="1"/>
        <v>81</v>
      </c>
      <c r="I21" s="3">
        <f t="shared" si="2"/>
        <v>220</v>
      </c>
      <c r="J21" s="3">
        <f t="shared" si="3"/>
        <v>83</v>
      </c>
      <c r="K21" s="3" t="str">
        <f t="shared" si="4"/>
        <v/>
      </c>
      <c r="L21" s="3" t="str">
        <f t="shared" si="8"/>
        <v>+2</v>
      </c>
      <c r="M21" s="4">
        <f t="shared" si="6"/>
        <v>1.0952380952380953</v>
      </c>
      <c r="N21" s="3" t="s">
        <v>311</v>
      </c>
      <c r="O21" s="3" t="s">
        <v>309</v>
      </c>
      <c r="P21" s="11" t="s">
        <v>312</v>
      </c>
      <c r="Q21" s="3" t="s">
        <v>310</v>
      </c>
      <c r="R21" s="12">
        <v>47</v>
      </c>
      <c r="S21" s="3">
        <v>20</v>
      </c>
      <c r="T21" s="3">
        <f>IF(R21=R20,T20, MAX(T$1:T20)+1)</f>
        <v>5</v>
      </c>
      <c r="U21" s="5" t="s">
        <v>159</v>
      </c>
      <c r="V21" s="5" t="s">
        <v>274</v>
      </c>
      <c r="W21" s="6">
        <v>35858</v>
      </c>
      <c r="X21" s="2">
        <v>3</v>
      </c>
      <c r="Y21" s="2">
        <v>11</v>
      </c>
      <c r="Z21" s="2" t="s">
        <v>56</v>
      </c>
      <c r="AA21" s="2">
        <v>4</v>
      </c>
      <c r="AB21" s="2">
        <v>6</v>
      </c>
      <c r="AC21" s="2" t="str">
        <f>IFERROR(INDEX('ringer measureables'!$A:$J,MATCH($A21,'ringer measureables'!$A:$A,FALSE),7), "")</f>
        <v>6'9</v>
      </c>
      <c r="AD21" s="2">
        <f>IFERROR(INDEX('ringer measureables'!$A:$J,MATCH($A21,'ringer measureables'!$A:$A,FALSE),9), "")</f>
        <v>220</v>
      </c>
      <c r="AE21" s="2" t="str">
        <f>IFERROR(INDEX('ringer measureables'!$A:$J,MATCH($A21,'ringer measureables'!$A:$A,FALSE),10), "")</f>
        <v>6'11</v>
      </c>
      <c r="AF21" s="2">
        <f>IFERROR(INDEX('ringer measureables'!$A:$J,MATCH($A21,'ringer measureables'!$A:$A,FALSE),8), "")</f>
        <v>0</v>
      </c>
      <c r="AG21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</v>
      </c>
    </row>
    <row r="22" spans="1:33">
      <c r="A22" t="s">
        <v>103</v>
      </c>
      <c r="B22" s="3" t="s">
        <v>21</v>
      </c>
      <c r="C22" s="3">
        <f>IFERROR(INDEX(actual!A:A,MATCH(A22,actual!B:B,FALSE)), "")</f>
        <v>24</v>
      </c>
      <c r="D22" s="3" t="str">
        <f>IFERROR(INDEX(actual!C:C,MATCH(A22,actual!B:B,FALSE)), "")</f>
        <v>DEN</v>
      </c>
      <c r="E22" s="3" t="s">
        <v>182</v>
      </c>
      <c r="G22" s="4">
        <f t="shared" si="0"/>
        <v>19.7782340862423</v>
      </c>
      <c r="H22" s="3">
        <f t="shared" si="1"/>
        <v>77</v>
      </c>
      <c r="I22" s="3">
        <f t="shared" si="2"/>
        <v>188</v>
      </c>
      <c r="J22" s="3">
        <f t="shared" si="3"/>
        <v>79</v>
      </c>
      <c r="K22" s="3" t="str">
        <f t="shared" si="4"/>
        <v/>
      </c>
      <c r="L22" s="3" t="str">
        <f t="shared" si="8"/>
        <v>+2</v>
      </c>
      <c r="M22" s="4">
        <f t="shared" si="6"/>
        <v>1.1176470588235294</v>
      </c>
      <c r="O22" s="3" t="s">
        <v>330</v>
      </c>
      <c r="P22" s="3" t="s">
        <v>331</v>
      </c>
      <c r="R22" s="12">
        <v>47</v>
      </c>
      <c r="S22" s="3">
        <v>21</v>
      </c>
      <c r="T22" s="3">
        <f>IF(R22=R21,T21, MAX(T$1:T21)+1)</f>
        <v>5</v>
      </c>
      <c r="U22" s="5" t="s">
        <v>180</v>
      </c>
      <c r="V22" s="5" t="s">
        <v>181</v>
      </c>
      <c r="W22" s="6">
        <v>36929</v>
      </c>
      <c r="X22" s="2">
        <v>5</v>
      </c>
      <c r="Y22" s="2">
        <v>21</v>
      </c>
      <c r="AA22" s="2">
        <v>7</v>
      </c>
      <c r="AB22" s="2">
        <v>14</v>
      </c>
      <c r="AC22" s="2" t="str">
        <f>IFERROR(INDEX('ringer measureables'!$A:$J,MATCH($A22,'ringer measureables'!$A:$A,FALSE),7), "")</f>
        <v>6'5</v>
      </c>
      <c r="AD22" s="2">
        <f>IFERROR(INDEX('ringer measureables'!$A:$J,MATCH($A22,'ringer measureables'!$A:$A,FALSE),9), "")</f>
        <v>188</v>
      </c>
      <c r="AE22" s="2" t="str">
        <f>IFERROR(INDEX('ringer measureables'!$A:$J,MATCH($A22,'ringer measureables'!$A:$A,FALSE),10), "")</f>
        <v>6'7</v>
      </c>
      <c r="AF22" s="2">
        <f>IFERROR(INDEX('ringer measureables'!$A:$J,MATCH($A22,'ringer measureables'!$A:$A,FALSE),8), "")</f>
        <v>0</v>
      </c>
      <c r="AG22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</v>
      </c>
    </row>
    <row r="23" spans="1:33">
      <c r="A23" t="s">
        <v>118</v>
      </c>
      <c r="B23" s="3" t="s">
        <v>21</v>
      </c>
      <c r="C23" s="3">
        <f>IFERROR(INDEX(actual!A:A,MATCH(A23,actual!B:B,FALSE)), "")</f>
        <v>34</v>
      </c>
      <c r="D23" s="3" t="str">
        <f>IFERROR(INDEX(actual!C:C,MATCH(A23,actual!B:B,FALSE)), "")</f>
        <v>OKC</v>
      </c>
      <c r="E23" s="3" t="s">
        <v>206</v>
      </c>
      <c r="G23" s="4">
        <f t="shared" si="0"/>
        <v>19.436002737850789</v>
      </c>
      <c r="H23" s="3">
        <f t="shared" si="1"/>
        <v>76</v>
      </c>
      <c r="I23" s="3">
        <f t="shared" si="2"/>
        <v>174</v>
      </c>
      <c r="J23" s="3">
        <f t="shared" si="3"/>
        <v>80.5</v>
      </c>
      <c r="K23" s="3" t="str">
        <f t="shared" si="4"/>
        <v/>
      </c>
      <c r="L23" s="3" t="str">
        <f t="shared" si="8"/>
        <v>+4.5</v>
      </c>
      <c r="M23" s="4">
        <f t="shared" si="6"/>
        <v>1.28125</v>
      </c>
      <c r="N23" s="3" t="s">
        <v>26</v>
      </c>
      <c r="O23" s="11" t="s">
        <v>348</v>
      </c>
      <c r="P23" s="3" t="s">
        <v>315</v>
      </c>
      <c r="R23" s="12">
        <v>47</v>
      </c>
      <c r="S23" s="3">
        <v>22</v>
      </c>
      <c r="T23" s="3">
        <f>IF(R23=R22,T22, MAX(T$1:T22)+1)</f>
        <v>5</v>
      </c>
      <c r="U23" s="5" t="s">
        <v>204</v>
      </c>
      <c r="V23" s="5" t="s">
        <v>205</v>
      </c>
      <c r="W23" s="6">
        <v>37054</v>
      </c>
      <c r="X23" s="2">
        <v>4</v>
      </c>
      <c r="Y23" s="2">
        <v>31</v>
      </c>
      <c r="AA23" s="2">
        <v>33</v>
      </c>
      <c r="AB23" s="2">
        <v>25</v>
      </c>
      <c r="AC23" s="2" t="str">
        <f>IFERROR(INDEX('ringer measureables'!$A:$J,MATCH($A23,'ringer measureables'!$A:$A,FALSE),7), "")</f>
        <v>6'4</v>
      </c>
      <c r="AD23" s="2">
        <f>IFERROR(INDEX('ringer measureables'!$A:$J,MATCH($A23,'ringer measureables'!$A:$A,FALSE),9), "")</f>
        <v>174</v>
      </c>
      <c r="AE23" s="2" t="str">
        <f>IFERROR(INDEX('ringer measureables'!$A:$J,MATCH($A23,'ringer measureables'!$A:$A,FALSE),10), "")</f>
        <v>6'8.5</v>
      </c>
      <c r="AF23" s="2">
        <f>IFERROR(INDEX('ringer measureables'!$A:$J,MATCH($A23,'ringer measureables'!$A:$A,FALSE),8), "")</f>
        <v>0</v>
      </c>
      <c r="AG23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</v>
      </c>
    </row>
    <row r="24" spans="1:33">
      <c r="A24" t="s">
        <v>110</v>
      </c>
      <c r="B24" s="3" t="s">
        <v>20</v>
      </c>
      <c r="C24" s="3">
        <f>IFERROR(INDEX(actual!A:A,MATCH(A24,actual!B:B,FALSE)), "")</f>
        <v>28</v>
      </c>
      <c r="D24" s="3" t="str">
        <f>IFERROR(INDEX(actual!C:C,MATCH(A24,actual!B:B,FALSE)), "")</f>
        <v>MIN</v>
      </c>
      <c r="E24" s="3" t="s">
        <v>41</v>
      </c>
      <c r="F24" s="3" t="s">
        <v>28</v>
      </c>
      <c r="G24" s="4">
        <f t="shared" si="0"/>
        <v>20.134923738756356</v>
      </c>
      <c r="H24" s="3">
        <f t="shared" si="1"/>
        <v>81</v>
      </c>
      <c r="I24" s="3">
        <f t="shared" si="2"/>
        <v>200</v>
      </c>
      <c r="J24" s="3">
        <f t="shared" si="3"/>
        <v>83.5</v>
      </c>
      <c r="K24" s="3" t="str">
        <f t="shared" si="4"/>
        <v/>
      </c>
      <c r="L24" s="3" t="str">
        <f t="shared" si="8"/>
        <v>+2.5</v>
      </c>
      <c r="M24" s="4">
        <f t="shared" si="6"/>
        <v>1.1190476190476191</v>
      </c>
      <c r="O24" s="3" t="s">
        <v>340</v>
      </c>
      <c r="P24" s="3" t="s">
        <v>341</v>
      </c>
      <c r="R24" s="12">
        <v>47</v>
      </c>
      <c r="S24" s="3">
        <v>23</v>
      </c>
      <c r="T24" s="3">
        <f>IF(R24=R23,T23, MAX(T$1:T23)+1)</f>
        <v>5</v>
      </c>
      <c r="U24" s="5" t="s">
        <v>194</v>
      </c>
      <c r="V24" s="5" t="s">
        <v>195</v>
      </c>
      <c r="W24" s="6">
        <v>36798</v>
      </c>
      <c r="X24" s="2">
        <v>5</v>
      </c>
      <c r="Y24" s="2">
        <v>26</v>
      </c>
      <c r="AA24" s="2">
        <v>44</v>
      </c>
      <c r="AB24" s="2">
        <v>23</v>
      </c>
      <c r="AC24" s="2" t="str">
        <f>IFERROR(INDEX('ringer measureables'!$A:$J,MATCH($A24,'ringer measureables'!$A:$A,FALSE),7), "")</f>
        <v>6'9</v>
      </c>
      <c r="AD24" s="2">
        <f>IFERROR(INDEX('ringer measureables'!$A:$J,MATCH($A24,'ringer measureables'!$A:$A,FALSE),9), "")</f>
        <v>200</v>
      </c>
      <c r="AE24" s="2" t="str">
        <f>IFERROR(INDEX('ringer measureables'!$A:$J,MATCH($A24,'ringer measureables'!$A:$A,FALSE),10), "")</f>
        <v>6'11.5</v>
      </c>
      <c r="AF24" s="2">
        <f>IFERROR(INDEX('ringer measureables'!$A:$J,MATCH($A24,'ringer measureables'!$A:$A,FALSE),8), "")</f>
        <v>0</v>
      </c>
      <c r="AG24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</v>
      </c>
    </row>
    <row r="25" spans="1:33">
      <c r="A25" t="s">
        <v>11</v>
      </c>
      <c r="B25" s="3" t="s">
        <v>19</v>
      </c>
      <c r="C25" s="3" t="str">
        <f>IFERROR(INDEX(actual!A:A,MATCH(A25,actual!B:B,FALSE)), "")</f>
        <v/>
      </c>
      <c r="D25" s="3" t="str">
        <f>IFERROR(INDEX(actual!C:C,MATCH(A25,actual!B:B,FALSE)), "")</f>
        <v/>
      </c>
      <c r="E25" s="3" t="s">
        <v>25</v>
      </c>
      <c r="F25" s="3" t="s">
        <v>46</v>
      </c>
      <c r="G25" s="4">
        <f t="shared" si="0"/>
        <v>22.707058683490061</v>
      </c>
      <c r="H25" s="3">
        <f t="shared" si="1"/>
        <v>82</v>
      </c>
      <c r="I25" s="3">
        <f t="shared" si="2"/>
        <v>220</v>
      </c>
      <c r="J25" s="3">
        <f t="shared" si="3"/>
        <v>82</v>
      </c>
      <c r="K25" s="3" t="str">
        <f t="shared" si="4"/>
        <v/>
      </c>
      <c r="L25" s="3" t="str">
        <f t="shared" si="8"/>
        <v>+0</v>
      </c>
      <c r="M25" s="4">
        <f t="shared" si="6"/>
        <v>1</v>
      </c>
      <c r="N25" s="3" t="s">
        <v>302</v>
      </c>
      <c r="O25" s="3" t="s">
        <v>352</v>
      </c>
      <c r="P25" s="3" t="s">
        <v>353</v>
      </c>
      <c r="Q25" s="3" t="s">
        <v>0</v>
      </c>
      <c r="R25" s="12">
        <v>47</v>
      </c>
      <c r="S25" s="3">
        <v>24</v>
      </c>
      <c r="T25" s="3">
        <f>IF(R25=R24,T24, MAX(T$1:T24)+1)</f>
        <v>5</v>
      </c>
      <c r="U25" s="5" t="s">
        <v>214</v>
      </c>
      <c r="V25" s="5" t="s">
        <v>215</v>
      </c>
      <c r="W25" s="6">
        <v>35859</v>
      </c>
      <c r="X25" s="2">
        <v>4</v>
      </c>
      <c r="Y25" s="2">
        <v>34</v>
      </c>
      <c r="AA25" s="2">
        <v>39</v>
      </c>
      <c r="AB25" s="2">
        <v>54</v>
      </c>
      <c r="AC25" s="2" t="str">
        <f>IFERROR(INDEX('ringer measureables'!$A:$J,MATCH($A25,'ringer measureables'!$A:$A,FALSE),7), "")</f>
        <v>6'10</v>
      </c>
      <c r="AD25" s="2">
        <f>IFERROR(INDEX('ringer measureables'!$A:$J,MATCH($A25,'ringer measureables'!$A:$A,FALSE),9), "")</f>
        <v>220</v>
      </c>
      <c r="AE25" s="2" t="str">
        <f>IFERROR(INDEX('ringer measureables'!$A:$J,MATCH($A25,'ringer measureables'!$A:$A,FALSE),10), "")</f>
        <v>6'10</v>
      </c>
      <c r="AF25" s="2">
        <f>IFERROR(INDEX('ringer measureables'!$A:$J,MATCH($A25,'ringer measureables'!$A:$A,FALSE),8), "")</f>
        <v>0</v>
      </c>
      <c r="AG25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</v>
      </c>
    </row>
    <row r="26" spans="1:33">
      <c r="A26" t="s">
        <v>125</v>
      </c>
      <c r="B26" s="3" t="s">
        <v>22</v>
      </c>
      <c r="C26" s="3">
        <f>IFERROR(INDEX(actual!A:A,MATCH(A26,actual!B:B,FALSE)), "")</f>
        <v>43</v>
      </c>
      <c r="D26" s="3" t="str">
        <f>IFERROR(INDEX(actual!C:C,MATCH(A26,actual!B:B,FALSE)), "")</f>
        <v>SAC</v>
      </c>
      <c r="E26" s="3" t="s">
        <v>38</v>
      </c>
      <c r="F26" s="3" t="s">
        <v>28</v>
      </c>
      <c r="G26" s="4">
        <f t="shared" si="0"/>
        <v>19.444216290212182</v>
      </c>
      <c r="H26" s="3">
        <f t="shared" si="1"/>
        <v>76</v>
      </c>
      <c r="I26" s="3">
        <f t="shared" si="2"/>
        <v>195</v>
      </c>
      <c r="J26" s="3">
        <f t="shared" si="3"/>
        <v>78</v>
      </c>
      <c r="K26" s="3" t="str">
        <f t="shared" si="4"/>
        <v/>
      </c>
      <c r="L26" s="3" t="str">
        <f t="shared" si="8"/>
        <v>+2</v>
      </c>
      <c r="M26" s="4">
        <f t="shared" si="6"/>
        <v>1.125</v>
      </c>
      <c r="O26" s="3" t="s">
        <v>360</v>
      </c>
      <c r="P26" s="3" t="s">
        <v>359</v>
      </c>
      <c r="R26" s="12">
        <v>45</v>
      </c>
      <c r="S26" s="3">
        <v>25</v>
      </c>
      <c r="T26" s="3">
        <f>IF(R26=R25,T25, MAX(T$1:T25)+1)</f>
        <v>6</v>
      </c>
      <c r="U26" s="5" t="s">
        <v>222</v>
      </c>
      <c r="V26" s="5" t="s">
        <v>223</v>
      </c>
      <c r="W26" s="6">
        <v>37051</v>
      </c>
      <c r="X26" s="2">
        <v>5</v>
      </c>
      <c r="Y26" s="2">
        <v>37</v>
      </c>
      <c r="Z26" s="2" t="s">
        <v>150</v>
      </c>
      <c r="AA26" s="2">
        <v>45</v>
      </c>
      <c r="AB26" s="2">
        <v>35</v>
      </c>
      <c r="AC26" s="2" t="str">
        <f>IFERROR(INDEX('ringer measureables'!$A:$J,MATCH($A26,'ringer measureables'!$A:$A,FALSE),7), "")</f>
        <v>6'4</v>
      </c>
      <c r="AD26" s="2">
        <f>IFERROR(INDEX('ringer measureables'!$A:$J,MATCH($A26,'ringer measureables'!$A:$A,FALSE),9), "")</f>
        <v>195</v>
      </c>
      <c r="AE26" s="2" t="str">
        <f>IFERROR(INDEX('ringer measureables'!$A:$J,MATCH($A26,'ringer measureables'!$A:$A,FALSE),10), "")</f>
        <v>6'6</v>
      </c>
      <c r="AF26" s="2">
        <f>IFERROR(INDEX('ringer measureables'!$A:$J,MATCH($A26,'ringer measureables'!$A:$A,FALSE),8), "")</f>
        <v>0</v>
      </c>
      <c r="AG26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</v>
      </c>
    </row>
    <row r="27" spans="1:33">
      <c r="A27" t="s">
        <v>102</v>
      </c>
      <c r="B27" s="3" t="s">
        <v>22</v>
      </c>
      <c r="C27" s="3">
        <f>IFERROR(INDEX(actual!A:A,MATCH(A27,actual!B:B,FALSE)), "")</f>
        <v>30</v>
      </c>
      <c r="D27" s="3" t="str">
        <f>IFERROR(INDEX(actual!C:C,MATCH(A27,actual!B:B,FALSE)), "")</f>
        <v>MEM</v>
      </c>
      <c r="E27" s="3" t="s">
        <v>177</v>
      </c>
      <c r="F27" s="3" t="s">
        <v>46</v>
      </c>
      <c r="G27" s="4">
        <f t="shared" si="0"/>
        <v>22.400428520414238</v>
      </c>
      <c r="H27" s="3">
        <f t="shared" si="1"/>
        <v>78</v>
      </c>
      <c r="I27" s="3">
        <f t="shared" si="2"/>
        <v>215</v>
      </c>
      <c r="J27" s="3">
        <f t="shared" si="3"/>
        <v>77</v>
      </c>
      <c r="K27" s="3" t="str">
        <f t="shared" si="4"/>
        <v/>
      </c>
      <c r="L27" s="3" t="str">
        <f t="shared" si="8"/>
        <v>-1</v>
      </c>
      <c r="M27" s="4">
        <f t="shared" si="6"/>
        <v>0.94444444444444442</v>
      </c>
      <c r="N27" s="3" t="s">
        <v>329</v>
      </c>
      <c r="O27" s="3" t="s">
        <v>328</v>
      </c>
      <c r="P27" s="3" t="s">
        <v>291</v>
      </c>
      <c r="Q27" s="3" t="s">
        <v>0</v>
      </c>
      <c r="R27" s="12">
        <v>45</v>
      </c>
      <c r="S27" s="3">
        <v>26</v>
      </c>
      <c r="T27" s="3">
        <f>IF(R27=R26,T26, MAX(T$1:T26)+1)</f>
        <v>6</v>
      </c>
      <c r="U27" s="5" t="s">
        <v>179</v>
      </c>
      <c r="V27" s="5" t="s">
        <v>178</v>
      </c>
      <c r="W27" s="6">
        <v>35971</v>
      </c>
      <c r="X27" s="2">
        <v>4</v>
      </c>
      <c r="Y27" s="2">
        <v>20</v>
      </c>
      <c r="AA27" s="2">
        <v>20</v>
      </c>
      <c r="AB27" s="2">
        <v>34</v>
      </c>
      <c r="AC27" s="2" t="str">
        <f>IFERROR(INDEX('ringer measureables'!$A:$J,MATCH($A27,'ringer measureables'!$A:$A,FALSE),7), "")</f>
        <v>6'6</v>
      </c>
      <c r="AD27" s="2">
        <f>IFERROR(INDEX('ringer measureables'!$A:$J,MATCH($A27,'ringer measureables'!$A:$A,FALSE),9), "")</f>
        <v>215</v>
      </c>
      <c r="AE27" s="2" t="str">
        <f>IFERROR(INDEX('ringer measureables'!$A:$J,MATCH($A27,'ringer measureables'!$A:$A,FALSE),10), "")</f>
        <v>6'5</v>
      </c>
      <c r="AF27" s="2">
        <f>IFERROR(INDEX('ringer measureables'!$A:$J,MATCH($A27,'ringer measureables'!$A:$A,FALSE),8), "")</f>
        <v>0</v>
      </c>
      <c r="AG27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</v>
      </c>
    </row>
    <row r="28" spans="1:33">
      <c r="A28" t="s">
        <v>127</v>
      </c>
      <c r="B28" s="3" t="s">
        <v>21</v>
      </c>
      <c r="C28" s="3">
        <f>IFERROR(INDEX(actual!A:A,MATCH(A28,actual!B:B,FALSE)), "")</f>
        <v>41</v>
      </c>
      <c r="D28" s="3" t="str">
        <f>IFERROR(INDEX(actual!C:C,MATCH(A28,actual!B:B,FALSE)), "")</f>
        <v>SAS</v>
      </c>
      <c r="E28" s="3" t="s">
        <v>32</v>
      </c>
      <c r="F28" s="3" t="s">
        <v>44</v>
      </c>
      <c r="G28" s="4">
        <f t="shared" si="0"/>
        <v>20.860383261634727</v>
      </c>
      <c r="H28" s="3">
        <f t="shared" si="1"/>
        <v>75</v>
      </c>
      <c r="I28" s="3">
        <f t="shared" si="2"/>
        <v>185</v>
      </c>
      <c r="J28" s="3">
        <f t="shared" si="3"/>
        <v>76</v>
      </c>
      <c r="K28" s="3" t="str">
        <f t="shared" si="4"/>
        <v/>
      </c>
      <c r="L28" s="3" t="str">
        <f t="shared" si="8"/>
        <v>+1</v>
      </c>
      <c r="M28" s="4">
        <f t="shared" si="6"/>
        <v>1.0666666666666667</v>
      </c>
      <c r="O28" s="3" t="s">
        <v>364</v>
      </c>
      <c r="P28" s="11" t="s">
        <v>362</v>
      </c>
      <c r="R28" s="12">
        <v>45</v>
      </c>
      <c r="S28" s="3">
        <v>27</v>
      </c>
      <c r="T28" s="3">
        <f>IF(R28=R27,T27, MAX(T$1:T27)+1)</f>
        <v>6</v>
      </c>
      <c r="U28" s="5" t="s">
        <v>227</v>
      </c>
      <c r="V28" s="5" t="s">
        <v>228</v>
      </c>
      <c r="W28" s="6">
        <v>36533</v>
      </c>
      <c r="X28" s="2">
        <v>5</v>
      </c>
      <c r="Y28" s="2">
        <v>39</v>
      </c>
      <c r="Z28" s="2" t="s">
        <v>150</v>
      </c>
      <c r="AA28" s="2">
        <v>21</v>
      </c>
      <c r="AB28" s="2">
        <v>30</v>
      </c>
      <c r="AC28" s="2" t="str">
        <f>IFERROR(INDEX('ringer measureables'!$A:$J,MATCH($A28,'ringer measureables'!$A:$A,FALSE),7), "")</f>
        <v>6'3</v>
      </c>
      <c r="AD28" s="2">
        <f>IFERROR(INDEX('ringer measureables'!$A:$J,MATCH($A28,'ringer measureables'!$A:$A,FALSE),9), "")</f>
        <v>185</v>
      </c>
      <c r="AE28" s="2" t="str">
        <f>IFERROR(INDEX('ringer measureables'!$A:$J,MATCH($A28,'ringer measureables'!$A:$A,FALSE),10), "")</f>
        <v>6'4</v>
      </c>
      <c r="AF28" s="2">
        <f>IFERROR(INDEX('ringer measureables'!$A:$J,MATCH($A28,'ringer measureables'!$A:$A,FALSE),8), "")</f>
        <v>0</v>
      </c>
      <c r="AG28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</v>
      </c>
    </row>
    <row r="29" spans="1:33">
      <c r="A29" t="s">
        <v>138</v>
      </c>
      <c r="B29" s="3" t="s">
        <v>18</v>
      </c>
      <c r="C29" s="3">
        <f>IFERROR(INDEX(actual!A:A,MATCH(A29,actual!B:B,FALSE)), "")</f>
        <v>32</v>
      </c>
      <c r="D29" s="3" t="str">
        <f>IFERROR(INDEX(actual!C:C,MATCH(A29,actual!B:B,FALSE)), "")</f>
        <v>CHA</v>
      </c>
      <c r="E29" s="3" t="s">
        <v>32</v>
      </c>
      <c r="F29" s="3" t="s">
        <v>28</v>
      </c>
      <c r="G29" s="4">
        <f t="shared" si="0"/>
        <v>19.728952772073921</v>
      </c>
      <c r="H29" s="3">
        <f t="shared" si="1"/>
        <v>82</v>
      </c>
      <c r="I29" s="3">
        <f t="shared" si="2"/>
        <v>270</v>
      </c>
      <c r="J29" s="3">
        <f t="shared" si="3"/>
        <v>84</v>
      </c>
      <c r="K29" s="3" t="str">
        <f t="shared" si="4"/>
        <v/>
      </c>
      <c r="L29" s="3" t="str">
        <f t="shared" si="8"/>
        <v>+2</v>
      </c>
      <c r="M29" s="4">
        <f t="shared" si="6"/>
        <v>1.0909090909090908</v>
      </c>
      <c r="O29" s="3" t="s">
        <v>377</v>
      </c>
      <c r="P29" s="11" t="s">
        <v>378</v>
      </c>
      <c r="R29" s="12">
        <v>45</v>
      </c>
      <c r="S29" s="3">
        <v>28</v>
      </c>
      <c r="T29" s="3">
        <f>IF(R29=R28,T28, MAX(T$1:T28)+1)</f>
        <v>6</v>
      </c>
      <c r="U29" s="5" t="s">
        <v>251</v>
      </c>
      <c r="V29" s="5" t="s">
        <v>252</v>
      </c>
      <c r="W29" s="6">
        <v>36947</v>
      </c>
      <c r="X29" s="2">
        <v>5</v>
      </c>
      <c r="Y29" s="2">
        <v>49</v>
      </c>
      <c r="Z29" s="9" t="s">
        <v>149</v>
      </c>
      <c r="AA29" s="2">
        <v>58</v>
      </c>
      <c r="AB29" s="2">
        <v>43</v>
      </c>
      <c r="AC29" s="2" t="str">
        <f>IFERROR(INDEX('ringer measureables'!$A:$J,MATCH($A29,'ringer measureables'!$A:$A,FALSE),7), "")</f>
        <v>6'10</v>
      </c>
      <c r="AD29" s="2">
        <f>IFERROR(INDEX('ringer measureables'!$A:$J,MATCH($A29,'ringer measureables'!$A:$A,FALSE),9), "")</f>
        <v>270</v>
      </c>
      <c r="AE29" s="2" t="str">
        <f>IFERROR(INDEX('ringer measureables'!$A:$J,MATCH($A29,'ringer measureables'!$A:$A,FALSE),10), "")</f>
        <v>7'0</v>
      </c>
      <c r="AF29" s="2">
        <f>IFERROR(INDEX('ringer measureables'!$A:$J,MATCH($A29,'ringer measureables'!$A:$A,FALSE),8), "")</f>
        <v>0</v>
      </c>
      <c r="AG29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</v>
      </c>
    </row>
    <row r="30" spans="1:33">
      <c r="A30" t="s">
        <v>104</v>
      </c>
      <c r="B30" s="3" t="s">
        <v>20</v>
      </c>
      <c r="C30" s="3">
        <f>IFERROR(INDEX(actual!A:A,MATCH(A30,actual!B:B,FALSE)), "")</f>
        <v>40</v>
      </c>
      <c r="D30" s="3" t="str">
        <f>IFERROR(INDEX(actual!C:C,MATCH(A30,actual!B:B,FALSE)), "")</f>
        <v>SAC</v>
      </c>
      <c r="E30" s="3" t="s">
        <v>185</v>
      </c>
      <c r="F30" s="3" t="s">
        <v>44</v>
      </c>
      <c r="G30" s="4">
        <f t="shared" si="0"/>
        <v>21.15679442508711</v>
      </c>
      <c r="H30" s="3">
        <f t="shared" si="1"/>
        <v>79</v>
      </c>
      <c r="I30" s="3">
        <f t="shared" si="2"/>
        <v>235</v>
      </c>
      <c r="J30" s="3">
        <f t="shared" si="3"/>
        <v>85</v>
      </c>
      <c r="K30" s="3" t="str">
        <f t="shared" si="4"/>
        <v/>
      </c>
      <c r="L30" s="3" t="str">
        <f t="shared" si="8"/>
        <v>+6</v>
      </c>
      <c r="M30" s="4">
        <f t="shared" si="6"/>
        <v>1.3157894736842106</v>
      </c>
      <c r="N30" s="11" t="s">
        <v>0</v>
      </c>
      <c r="O30" s="3" t="s">
        <v>333</v>
      </c>
      <c r="P30" s="3" t="s">
        <v>332</v>
      </c>
      <c r="R30" s="12">
        <v>45</v>
      </c>
      <c r="S30" s="3">
        <v>29</v>
      </c>
      <c r="T30" s="3">
        <f>IF(R30=R29,T29, MAX(T$1:T29)+1)</f>
        <v>6</v>
      </c>
      <c r="U30" s="5" t="s">
        <v>183</v>
      </c>
      <c r="V30" s="5" t="s">
        <v>184</v>
      </c>
      <c r="W30" s="6">
        <v>36425</v>
      </c>
      <c r="X30" s="2">
        <v>5</v>
      </c>
      <c r="Y30" s="2">
        <v>22</v>
      </c>
      <c r="AA30" s="2">
        <v>28</v>
      </c>
      <c r="AB30" s="2">
        <v>26</v>
      </c>
      <c r="AC30" s="2" t="str">
        <f>IFERROR(INDEX('ringer measureables'!$A:$J,MATCH($A30,'ringer measureables'!$A:$A,FALSE),7), "")</f>
        <v>6'7</v>
      </c>
      <c r="AD30" s="2">
        <f>IFERROR(INDEX('ringer measureables'!$A:$J,MATCH($A30,'ringer measureables'!$A:$A,FALSE),9), "")</f>
        <v>235</v>
      </c>
      <c r="AE30" s="2" t="str">
        <f>IFERROR(INDEX('ringer measureables'!$A:$J,MATCH($A30,'ringer measureables'!$A:$A,FALSE),10), "")</f>
        <v>7'1</v>
      </c>
      <c r="AF30" s="2">
        <f>IFERROR(INDEX('ringer measureables'!$A:$J,MATCH($A30,'ringer measureables'!$A:$A,FALSE),8), "")</f>
        <v>0</v>
      </c>
      <c r="AG30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</v>
      </c>
    </row>
    <row r="31" spans="1:33">
      <c r="A31" t="s">
        <v>123</v>
      </c>
      <c r="B31" s="3" t="s">
        <v>19</v>
      </c>
      <c r="C31" s="3">
        <f>IFERROR(INDEX(actual!A:A,MATCH(A31,actual!B:B,FALSE)), "")</f>
        <v>58</v>
      </c>
      <c r="D31" s="3" t="str">
        <f>IFERROR(INDEX(actual!C:C,MATCH(A31,actual!B:B,FALSE)), "")</f>
        <v>PHI</v>
      </c>
      <c r="E31" s="3" t="s">
        <v>218</v>
      </c>
      <c r="F31" s="3" t="s">
        <v>45</v>
      </c>
      <c r="G31" s="4">
        <f t="shared" si="0"/>
        <v>21.430562468889995</v>
      </c>
      <c r="H31" s="3">
        <f t="shared" si="1"/>
        <v>81</v>
      </c>
      <c r="I31" s="3">
        <f t="shared" si="2"/>
        <v>220</v>
      </c>
      <c r="J31" s="3">
        <f t="shared" si="3"/>
        <v>86</v>
      </c>
      <c r="K31" s="3" t="str">
        <f t="shared" si="4"/>
        <v/>
      </c>
      <c r="L31" s="3" t="str">
        <f t="shared" si="8"/>
        <v>+5</v>
      </c>
      <c r="M31" s="4">
        <f t="shared" si="6"/>
        <v>1.2380952380952381</v>
      </c>
      <c r="N31" s="3" t="s">
        <v>354</v>
      </c>
      <c r="O31" s="3" t="s">
        <v>355</v>
      </c>
      <c r="P31" s="3" t="s">
        <v>356</v>
      </c>
      <c r="R31" s="12">
        <v>45</v>
      </c>
      <c r="S31" s="3">
        <v>30</v>
      </c>
      <c r="T31" s="3">
        <f>IF(R31=R30,T30, MAX(T$1:T30)+1)</f>
        <v>6</v>
      </c>
      <c r="U31" s="5" t="s">
        <v>216</v>
      </c>
      <c r="V31" s="5" t="s">
        <v>217</v>
      </c>
      <c r="W31" s="6">
        <v>36325</v>
      </c>
      <c r="X31" s="2">
        <v>5</v>
      </c>
      <c r="Y31" s="2">
        <v>35</v>
      </c>
      <c r="Z31" s="2" t="s">
        <v>150</v>
      </c>
      <c r="AA31" s="2">
        <v>49</v>
      </c>
      <c r="AB31" s="2">
        <v>53</v>
      </c>
      <c r="AC31" s="2" t="str">
        <f>IFERROR(INDEX('ringer measureables'!$A:$J,MATCH($A31,'ringer measureables'!$A:$A,FALSE),7), "")</f>
        <v>6'9</v>
      </c>
      <c r="AD31" s="2">
        <f>IFERROR(INDEX('ringer measureables'!$A:$J,MATCH($A31,'ringer measureables'!$A:$A,FALSE),9), "")</f>
        <v>220</v>
      </c>
      <c r="AE31" s="2" t="str">
        <f>IFERROR(INDEX('ringer measureables'!$A:$J,MATCH($A31,'ringer measureables'!$A:$A,FALSE),10), "")</f>
        <v>7'2</v>
      </c>
      <c r="AF31" s="2">
        <f>IFERROR(INDEX('ringer measureables'!$A:$J,MATCH($A31,'ringer measureables'!$A:$A,FALSE),8), "")</f>
        <v>0</v>
      </c>
      <c r="AG31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</v>
      </c>
    </row>
    <row r="32" spans="1:33">
      <c r="A32" t="s">
        <v>105</v>
      </c>
      <c r="B32" s="3" t="s">
        <v>20</v>
      </c>
      <c r="C32" s="3">
        <f>IFERROR(INDEX(actual!A:A,MATCH(A32,actual!B:B,FALSE)), "")</f>
        <v>23</v>
      </c>
      <c r="D32" s="3" t="str">
        <f>IFERROR(INDEX(actual!C:C,MATCH(A32,actual!B:B,FALSE)), "")</f>
        <v>MIN</v>
      </c>
      <c r="E32" s="3" t="s">
        <v>188</v>
      </c>
      <c r="G32" s="4">
        <f t="shared" si="0"/>
        <v>20.184200234649982</v>
      </c>
      <c r="H32" s="3">
        <f t="shared" si="1"/>
        <v>79</v>
      </c>
      <c r="I32" s="3">
        <f t="shared" si="2"/>
        <v>180</v>
      </c>
      <c r="J32" s="3">
        <f t="shared" si="3"/>
        <v>80</v>
      </c>
      <c r="K32" s="3" t="str">
        <f t="shared" si="4"/>
        <v/>
      </c>
      <c r="L32" s="3" t="str">
        <f t="shared" si="8"/>
        <v>+1</v>
      </c>
      <c r="M32" s="4">
        <f t="shared" si="6"/>
        <v>1.0526315789473684</v>
      </c>
      <c r="N32" s="3" t="s">
        <v>334</v>
      </c>
      <c r="P32" s="3" t="s">
        <v>335</v>
      </c>
      <c r="R32" s="12">
        <v>45</v>
      </c>
      <c r="S32" s="3">
        <v>31</v>
      </c>
      <c r="T32" s="3">
        <f>IF(R32=R31,T31, MAX(T$1:T31)+1)</f>
        <v>6</v>
      </c>
      <c r="U32" s="5" t="s">
        <v>187</v>
      </c>
      <c r="V32" s="5" t="s">
        <v>186</v>
      </c>
      <c r="W32" s="6">
        <v>36780</v>
      </c>
      <c r="X32" s="2">
        <v>5</v>
      </c>
      <c r="Y32" s="2">
        <v>23</v>
      </c>
      <c r="AA32" s="2">
        <v>31</v>
      </c>
      <c r="AB32" s="2">
        <v>22</v>
      </c>
      <c r="AC32" s="2" t="str">
        <f>IFERROR(INDEX('ringer measureables'!$A:$J,MATCH($A32,'ringer measureables'!$A:$A,FALSE),7), "")</f>
        <v>6'7</v>
      </c>
      <c r="AD32" s="2">
        <f>IFERROR(INDEX('ringer measureables'!$A:$J,MATCH($A32,'ringer measureables'!$A:$A,FALSE),9), "")</f>
        <v>180</v>
      </c>
      <c r="AE32" s="2" t="str">
        <f>IFERROR(INDEX('ringer measureables'!$A:$J,MATCH($A32,'ringer measureables'!$A:$A,FALSE),10), "")</f>
        <v>6'8</v>
      </c>
      <c r="AF32" s="2">
        <f>IFERROR(INDEX('ringer measureables'!$A:$J,MATCH($A32,'ringer measureables'!$A:$A,FALSE),8), "")</f>
        <v>0</v>
      </c>
      <c r="AG32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</v>
      </c>
    </row>
    <row r="33" spans="1:33">
      <c r="A33" t="s">
        <v>132</v>
      </c>
      <c r="B33" s="3" t="s">
        <v>21</v>
      </c>
      <c r="C33" s="3">
        <f>IFERROR(INDEX(actual!A:A,MATCH(A33,actual!B:B,FALSE)), "")</f>
        <v>56</v>
      </c>
      <c r="D33" s="3" t="str">
        <f>IFERROR(INDEX(actual!C:C,MATCH(A33,actual!B:B,FALSE)), "")</f>
        <v>CHA</v>
      </c>
      <c r="E33" s="3" t="s">
        <v>239</v>
      </c>
      <c r="F33" s="3" t="s">
        <v>46</v>
      </c>
      <c r="G33" s="4">
        <f t="shared" si="0"/>
        <v>23.775496235455169</v>
      </c>
      <c r="H33" s="3">
        <f t="shared" si="1"/>
        <v>75</v>
      </c>
      <c r="I33" s="3">
        <f t="shared" si="2"/>
        <v>190</v>
      </c>
      <c r="J33" s="3" t="str">
        <f t="shared" si="3"/>
        <v/>
      </c>
      <c r="K33" s="3" t="str">
        <f t="shared" si="4"/>
        <v/>
      </c>
      <c r="L33" s="3" t="str">
        <f t="shared" si="8"/>
        <v/>
      </c>
      <c r="M33" s="4" t="str">
        <f t="shared" si="6"/>
        <v/>
      </c>
      <c r="O33" s="3" t="s">
        <v>367</v>
      </c>
      <c r="P33" s="3" t="s">
        <v>368</v>
      </c>
      <c r="Q33" s="3" t="s">
        <v>26</v>
      </c>
      <c r="R33" s="12">
        <v>45</v>
      </c>
      <c r="S33" s="3">
        <v>32</v>
      </c>
      <c r="T33" s="3">
        <f>IF(R33=R32,T32, MAX(T$1:T32)+1)</f>
        <v>6</v>
      </c>
      <c r="U33" s="5" t="s">
        <v>237</v>
      </c>
      <c r="V33" s="5" t="s">
        <v>238</v>
      </c>
      <c r="W33" s="6">
        <v>35469</v>
      </c>
      <c r="X33" s="2">
        <v>4</v>
      </c>
      <c r="Y33" s="2">
        <v>43</v>
      </c>
      <c r="AA33" s="2">
        <v>25</v>
      </c>
      <c r="AB33" s="2">
        <v>39</v>
      </c>
      <c r="AC33" s="2" t="str">
        <f>IFERROR(INDEX('ringer measureables'!$A:$J,MATCH($A33,'ringer measureables'!$A:$A,FALSE),7), "")</f>
        <v>6'3</v>
      </c>
      <c r="AD33" s="2">
        <f>IFERROR(INDEX('ringer measureables'!$A:$J,MATCH($A33,'ringer measureables'!$A:$A,FALSE),9), "")</f>
        <v>190</v>
      </c>
      <c r="AE33" s="2">
        <f>IFERROR(INDEX('ringer measureables'!$A:$J,MATCH($A33,'ringer measureables'!$A:$A,FALSE),10), "")</f>
        <v>0</v>
      </c>
      <c r="AF33" s="2">
        <f>IFERROR(INDEX('ringer measureables'!$A:$J,MATCH($A33,'ringer measureables'!$A:$A,FALSE),8), "")</f>
        <v>0</v>
      </c>
      <c r="AG33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</v>
      </c>
    </row>
    <row r="34" spans="1:33">
      <c r="A34" t="s">
        <v>106</v>
      </c>
      <c r="B34" s="3" t="s">
        <v>19</v>
      </c>
      <c r="C34" s="3">
        <f>IFERROR(INDEX(actual!A:A,MATCH(A34,actual!B:B,FALSE)), "")</f>
        <v>20</v>
      </c>
      <c r="D34" s="3" t="str">
        <f>IFERROR(INDEX(actual!C:C,MATCH(A34,actual!B:B,FALSE)), "")</f>
        <v>MIA</v>
      </c>
      <c r="E34" s="3" t="s">
        <v>153</v>
      </c>
      <c r="F34" s="3" t="s">
        <v>28</v>
      </c>
      <c r="G34" s="4">
        <f t="shared" ref="G34:G56" si="9">YEARFRAC(W34, $G$1, 1)</f>
        <v>20.162299569808368</v>
      </c>
      <c r="H34" s="3">
        <f t="shared" ref="H34:H56" si="10">IFERROR(LEFT(AC34,FIND("'",AC34)-1)*12+SUBSTITUTE(MID(AC34,FIND("'",AC34)+1,LEN(AC34)),"''",""), "")</f>
        <v>81</v>
      </c>
      <c r="I34" s="3">
        <f t="shared" ref="I34:I56" si="11">AD34</f>
        <v>225</v>
      </c>
      <c r="J34" s="3">
        <f t="shared" ref="J34:J56" si="12">IFERROR(LEFT(AE34,FIND("'",AE34)-1)*12+SUBSTITUTE(MID(AE34,FIND("'",AE34)+1,LEN(AE34)),"''",""), "")</f>
        <v>86</v>
      </c>
      <c r="K34" s="3" t="str">
        <f t="shared" ref="K34:K56" si="13">IFERROR(LEFT(AF34,FIND("'",AF34)-1)*12+SUBSTITUTE(MID(AF34,FIND("'",AF34)+1,LEN(AF34)),"''",""), "")</f>
        <v/>
      </c>
      <c r="L34" s="3" t="str">
        <f t="shared" si="8"/>
        <v>+5</v>
      </c>
      <c r="M34" s="4">
        <f t="shared" ref="M34:M56" si="14">IF(H34&gt;0, IFERROR((J34-60)/(H34-60),""), "")</f>
        <v>1.2380952380952381</v>
      </c>
      <c r="O34" s="3" t="s">
        <v>336</v>
      </c>
      <c r="P34" s="3" t="s">
        <v>337</v>
      </c>
      <c r="R34" s="12">
        <v>45</v>
      </c>
      <c r="S34" s="3">
        <v>33</v>
      </c>
      <c r="T34" s="3">
        <f>IF(R34=R33,T33, MAX(T$1:T33)+1)</f>
        <v>6</v>
      </c>
      <c r="U34" s="5" t="s">
        <v>189</v>
      </c>
      <c r="V34" s="5" t="s">
        <v>190</v>
      </c>
      <c r="W34" s="6">
        <v>36788</v>
      </c>
      <c r="X34" s="2">
        <v>5</v>
      </c>
      <c r="Y34" s="2">
        <v>24</v>
      </c>
      <c r="AA34" s="2">
        <v>19</v>
      </c>
      <c r="AB34" s="2">
        <v>12</v>
      </c>
      <c r="AC34" s="2" t="str">
        <f>IFERROR(INDEX('ringer measureables'!$A:$J,MATCH($A34,'ringer measureables'!$A:$A,FALSE),7), "")</f>
        <v>6'9</v>
      </c>
      <c r="AD34" s="2">
        <f>IFERROR(INDEX('ringer measureables'!$A:$J,MATCH($A34,'ringer measureables'!$A:$A,FALSE),9), "")</f>
        <v>225</v>
      </c>
      <c r="AE34" s="2" t="str">
        <f>IFERROR(INDEX('ringer measureables'!$A:$J,MATCH($A34,'ringer measureables'!$A:$A,FALSE),10), "")</f>
        <v>7'2</v>
      </c>
      <c r="AF34" s="2">
        <f>IFERROR(INDEX('ringer measureables'!$A:$J,MATCH($A34,'ringer measureables'!$A:$A,FALSE),8), "")</f>
        <v>0</v>
      </c>
      <c r="AG34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</v>
      </c>
    </row>
    <row r="35" spans="1:33">
      <c r="A35" t="s">
        <v>112</v>
      </c>
      <c r="B35" s="3" t="s">
        <v>21</v>
      </c>
      <c r="C35" s="3">
        <f>IFERROR(INDEX(actual!A:A,MATCH(A35,actual!B:B,FALSE)), "")</f>
        <v>48</v>
      </c>
      <c r="D35" s="3" t="str">
        <f>IFERROR(INDEX(actual!C:C,MATCH(A35,actual!B:B,FALSE)), "")</f>
        <v>GSW</v>
      </c>
      <c r="E35" s="3" t="s">
        <v>193</v>
      </c>
      <c r="F35" s="3" t="s">
        <v>28</v>
      </c>
      <c r="G35" s="4">
        <f t="shared" si="9"/>
        <v>19.682409308692677</v>
      </c>
      <c r="H35" s="3">
        <f t="shared" si="10"/>
        <v>75</v>
      </c>
      <c r="I35" s="3">
        <f t="shared" si="11"/>
        <v>190</v>
      </c>
      <c r="J35" s="3">
        <f t="shared" si="12"/>
        <v>74.5</v>
      </c>
      <c r="K35" s="3" t="str">
        <f t="shared" si="13"/>
        <v/>
      </c>
      <c r="L35" s="3" t="str">
        <f>IFERROR(IF(J35-H35&gt;= 0, "+", ""),"") &amp; IFERROR(IF(J35-H35&gt;= -5, J35-H35, ""),"")</f>
        <v>-0.5</v>
      </c>
      <c r="M35" s="4">
        <f t="shared" si="14"/>
        <v>0.96666666666666667</v>
      </c>
      <c r="O35" s="3" t="s">
        <v>342</v>
      </c>
      <c r="P35" s="3" t="s">
        <v>292</v>
      </c>
      <c r="Q35" s="3" t="s">
        <v>0</v>
      </c>
      <c r="R35" s="12">
        <v>45</v>
      </c>
      <c r="S35" s="3">
        <v>34</v>
      </c>
      <c r="T35" s="3">
        <f>IF(R35=R34,T34, MAX(T$1:T34)+1)</f>
        <v>6</v>
      </c>
      <c r="U35" s="5" t="s">
        <v>196</v>
      </c>
      <c r="V35" s="5" t="s">
        <v>197</v>
      </c>
      <c r="W35" s="6">
        <v>36964</v>
      </c>
      <c r="X35" s="2">
        <v>5</v>
      </c>
      <c r="Y35" s="2">
        <v>27</v>
      </c>
      <c r="AA35" s="2">
        <v>43</v>
      </c>
      <c r="AB35" s="2">
        <v>26</v>
      </c>
      <c r="AC35" s="2" t="str">
        <f>IFERROR(INDEX('ringer measureables'!$A:$J,MATCH($A35,'ringer measureables'!$A:$A,FALSE),7), "")</f>
        <v>6'3</v>
      </c>
      <c r="AD35" s="2">
        <f>IFERROR(INDEX('ringer measureables'!$A:$J,MATCH($A35,'ringer measureables'!$A:$A,FALSE),9), "")</f>
        <v>190</v>
      </c>
      <c r="AE35" s="2" t="str">
        <f>IFERROR(INDEX('ringer measureables'!$A:$J,MATCH($A35,'ringer measureables'!$A:$A,FALSE),10), "")</f>
        <v>6'2.5</v>
      </c>
      <c r="AF35" s="2">
        <f>IFERROR(INDEX('ringer measureables'!$A:$J,MATCH($A35,'ringer measureables'!$A:$A,FALSE),8), "")</f>
        <v>0</v>
      </c>
      <c r="AG35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</v>
      </c>
    </row>
    <row r="36" spans="1:33">
      <c r="A36" t="s">
        <v>8</v>
      </c>
      <c r="B36" s="3" t="s">
        <v>21</v>
      </c>
      <c r="C36" s="3" t="str">
        <f>IFERROR(INDEX(actual!A:A,MATCH(A36,actual!B:B,FALSE)), "")</f>
        <v/>
      </c>
      <c r="D36" s="3" t="str">
        <f>IFERROR(INDEX(actual!C:C,MATCH(A36,actual!B:B,FALSE)), "")</f>
        <v/>
      </c>
      <c r="E36" s="3" t="s">
        <v>201</v>
      </c>
      <c r="F36" s="3" t="s">
        <v>44</v>
      </c>
      <c r="G36" s="4">
        <f t="shared" si="9"/>
        <v>21.296416127426582</v>
      </c>
      <c r="H36" s="3">
        <f t="shared" si="10"/>
        <v>74</v>
      </c>
      <c r="I36" s="3">
        <f t="shared" si="11"/>
        <v>185</v>
      </c>
      <c r="J36" s="3">
        <f t="shared" si="12"/>
        <v>75.25</v>
      </c>
      <c r="K36" s="3" t="str">
        <f t="shared" si="13"/>
        <v/>
      </c>
      <c r="L36" s="3" t="str">
        <f t="shared" ref="L36:L46" si="15">IFERROR(IF(AND(J36-H36&gt;= 0, J36 &gt; 0), "+", ""),"") &amp; IFERROR(IF(AND(J36-H36&gt;= -5, J36 &gt; 0), J36-H36, ""),"")</f>
        <v>+1.25</v>
      </c>
      <c r="M36" s="4">
        <f t="shared" si="14"/>
        <v>1.0892857142857142</v>
      </c>
      <c r="O36" s="3" t="s">
        <v>344</v>
      </c>
      <c r="P36" s="3" t="s">
        <v>345</v>
      </c>
      <c r="R36" s="12">
        <v>45</v>
      </c>
      <c r="S36" s="3">
        <v>35</v>
      </c>
      <c r="T36" s="3">
        <f>IF(R36=R35,T35, MAX(T$1:T35)+1)</f>
        <v>6</v>
      </c>
      <c r="U36" s="5" t="s">
        <v>199</v>
      </c>
      <c r="V36" s="5" t="s">
        <v>200</v>
      </c>
      <c r="W36" s="6">
        <v>36374</v>
      </c>
      <c r="X36" s="2">
        <v>5</v>
      </c>
      <c r="Y36" s="2">
        <v>29</v>
      </c>
      <c r="Z36" s="9" t="s">
        <v>150</v>
      </c>
      <c r="AA36" s="2">
        <v>41</v>
      </c>
      <c r="AB36" s="2">
        <v>47</v>
      </c>
      <c r="AC36" s="2" t="str">
        <f>IFERROR(INDEX('ringer measureables'!$A:$J,MATCH($A36,'ringer measureables'!$A:$A,FALSE),7), "")</f>
        <v>6'2</v>
      </c>
      <c r="AD36" s="2">
        <f>IFERROR(INDEX('ringer measureables'!$A:$J,MATCH($A36,'ringer measureables'!$A:$A,FALSE),9), "")</f>
        <v>185</v>
      </c>
      <c r="AE36" s="2" t="str">
        <f>IFERROR(INDEX('ringer measureables'!$A:$J,MATCH($A36,'ringer measureables'!$A:$A,FALSE),10), "")</f>
        <v>6'3.25</v>
      </c>
      <c r="AF36" s="2">
        <f>IFERROR(INDEX('ringer measureables'!$A:$J,MATCH($A36,'ringer measureables'!$A:$A,FALSE),8), "")</f>
        <v>0</v>
      </c>
      <c r="AG36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</v>
      </c>
    </row>
    <row r="37" spans="1:33">
      <c r="A37" t="s">
        <v>114</v>
      </c>
      <c r="B37" s="3" t="s">
        <v>21</v>
      </c>
      <c r="C37" s="3">
        <f>IFERROR(INDEX(actual!A:A,MATCH(A37,actual!B:B,FALSE)), "")</f>
        <v>49</v>
      </c>
      <c r="D37" s="3" t="str">
        <f>IFERROR(INDEX(actual!C:C,MATCH(A37,actual!B:B,FALSE)), "")</f>
        <v>PHI</v>
      </c>
      <c r="E37" s="3" t="s">
        <v>35</v>
      </c>
      <c r="F37" s="3" t="s">
        <v>44</v>
      </c>
      <c r="G37" s="4">
        <f t="shared" si="9"/>
        <v>21.381284221005476</v>
      </c>
      <c r="H37" s="3">
        <f t="shared" si="10"/>
        <v>77</v>
      </c>
      <c r="I37" s="3">
        <f t="shared" si="11"/>
        <v>180</v>
      </c>
      <c r="J37" s="3" t="str">
        <f t="shared" si="12"/>
        <v/>
      </c>
      <c r="K37" s="3" t="str">
        <f t="shared" si="13"/>
        <v/>
      </c>
      <c r="L37" s="3" t="str">
        <f t="shared" si="15"/>
        <v/>
      </c>
      <c r="M37" s="4" t="str">
        <f t="shared" si="14"/>
        <v/>
      </c>
      <c r="O37" s="3" t="s">
        <v>302</v>
      </c>
      <c r="P37" s="3" t="s">
        <v>343</v>
      </c>
      <c r="R37" s="12">
        <v>45</v>
      </c>
      <c r="S37" s="3">
        <v>36</v>
      </c>
      <c r="T37" s="3">
        <f>IF(R37=R36,T36, MAX(T$1:T36)+1)</f>
        <v>6</v>
      </c>
      <c r="U37" s="5" t="s">
        <v>198</v>
      </c>
      <c r="W37" s="6">
        <v>36343</v>
      </c>
      <c r="X37" s="2">
        <v>5</v>
      </c>
      <c r="Y37" s="2">
        <v>28</v>
      </c>
      <c r="AA37" s="2">
        <v>47</v>
      </c>
      <c r="AB37" s="2">
        <v>48</v>
      </c>
      <c r="AC37" s="2" t="str">
        <f>IFERROR(INDEX('ringer measureables'!$A:$J,MATCH($A37,'ringer measureables'!$A:$A,FALSE),7), "")</f>
        <v>6'5</v>
      </c>
      <c r="AD37" s="2">
        <f>IFERROR(INDEX('ringer measureables'!$A:$J,MATCH($A37,'ringer measureables'!$A:$A,FALSE),9), "")</f>
        <v>180</v>
      </c>
      <c r="AE37" s="2">
        <f>IFERROR(INDEX('ringer measureables'!$A:$J,MATCH($A37,'ringer measureables'!$A:$A,FALSE),10), "")</f>
        <v>0</v>
      </c>
      <c r="AF37" s="2">
        <f>IFERROR(INDEX('ringer measureables'!$A:$J,MATCH($A37,'ringer measureables'!$A:$A,FALSE),8), "")</f>
        <v>0</v>
      </c>
      <c r="AG37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</v>
      </c>
    </row>
    <row r="38" spans="1:33">
      <c r="A38" t="s">
        <v>134</v>
      </c>
      <c r="B38" s="3" t="s">
        <v>19</v>
      </c>
      <c r="C38" s="3">
        <f>IFERROR(INDEX(actual!A:A,MATCH(A38,actual!B:B,FALSE)), "")</f>
        <v>35</v>
      </c>
      <c r="D38" s="3" t="str">
        <f>IFERROR(INDEX(actual!C:C,MATCH(A38,actual!B:B,FALSE)), "")</f>
        <v>MEM</v>
      </c>
      <c r="E38" s="3" t="s">
        <v>234</v>
      </c>
      <c r="F38" s="3" t="s">
        <v>45</v>
      </c>
      <c r="G38" s="4">
        <f t="shared" si="9"/>
        <v>21.849427575908415</v>
      </c>
      <c r="H38" s="3">
        <f t="shared" si="10"/>
        <v>80</v>
      </c>
      <c r="I38" s="3">
        <f t="shared" si="11"/>
        <v>245</v>
      </c>
      <c r="J38" s="3">
        <f t="shared" si="12"/>
        <v>85</v>
      </c>
      <c r="K38" s="3" t="str">
        <f t="shared" si="13"/>
        <v/>
      </c>
      <c r="L38" s="3" t="str">
        <f t="shared" si="15"/>
        <v>+5</v>
      </c>
      <c r="M38" s="4">
        <f t="shared" si="14"/>
        <v>1.25</v>
      </c>
      <c r="O38" s="11" t="s">
        <v>370</v>
      </c>
      <c r="P38" s="3" t="s">
        <v>371</v>
      </c>
      <c r="R38" s="12">
        <v>45</v>
      </c>
      <c r="S38" s="3">
        <v>37</v>
      </c>
      <c r="T38" s="3">
        <f>IF(R38=R37,T37, MAX(T$1:T37)+1)</f>
        <v>6</v>
      </c>
      <c r="U38" s="5" t="s">
        <v>242</v>
      </c>
      <c r="V38" s="5" t="s">
        <v>243</v>
      </c>
      <c r="W38" s="6">
        <v>36172</v>
      </c>
      <c r="X38" s="2">
        <v>4</v>
      </c>
      <c r="Y38" s="2">
        <v>45</v>
      </c>
      <c r="AA38" s="2">
        <v>24</v>
      </c>
      <c r="AB38" s="2">
        <v>32</v>
      </c>
      <c r="AC38" s="2" t="str">
        <f>IFERROR(INDEX('ringer measureables'!$A:$J,MATCH($A38,'ringer measureables'!$A:$A,FALSE),7), "")</f>
        <v>6'8</v>
      </c>
      <c r="AD38" s="2">
        <f>IFERROR(INDEX('ringer measureables'!$A:$J,MATCH($A38,'ringer measureables'!$A:$A,FALSE),9), "")</f>
        <v>245</v>
      </c>
      <c r="AE38" s="2" t="str">
        <f>IFERROR(INDEX('ringer measureables'!$A:$J,MATCH($A38,'ringer measureables'!$A:$A,FALSE),10), "")</f>
        <v>7'1</v>
      </c>
      <c r="AF38" s="2">
        <f>IFERROR(INDEX('ringer measureables'!$A:$J,MATCH($A38,'ringer measureables'!$A:$A,FALSE),8), "")</f>
        <v>0</v>
      </c>
      <c r="AG38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</v>
      </c>
    </row>
    <row r="39" spans="1:33">
      <c r="A39" s="3" t="s">
        <v>10</v>
      </c>
      <c r="B39" s="3" t="s">
        <v>19</v>
      </c>
      <c r="C39" s="3">
        <f>IFERROR(INDEX(actual!A:A,MATCH(A39,actual!B:B,FALSE)), "")</f>
        <v>57</v>
      </c>
      <c r="D39" s="3" t="str">
        <f>IFERROR(INDEX(actual!C:C,MATCH(A39,actual!B:B,FALSE)), "")</f>
        <v>LAC</v>
      </c>
      <c r="E39" s="3" t="s">
        <v>185</v>
      </c>
      <c r="F39" s="3" t="s">
        <v>44</v>
      </c>
      <c r="G39" s="4">
        <f t="shared" si="9"/>
        <v>20.660539694955027</v>
      </c>
      <c r="H39" s="3">
        <f t="shared" si="10"/>
        <v>81</v>
      </c>
      <c r="I39" s="3">
        <f t="shared" si="11"/>
        <v>250</v>
      </c>
      <c r="J39" s="3">
        <f t="shared" si="12"/>
        <v>84.5</v>
      </c>
      <c r="K39" s="3" t="str">
        <f t="shared" si="13"/>
        <v/>
      </c>
      <c r="L39" s="3" t="str">
        <f t="shared" si="15"/>
        <v>+3.5</v>
      </c>
      <c r="M39" s="4">
        <f t="shared" si="14"/>
        <v>1.1666666666666667</v>
      </c>
      <c r="O39" s="3" t="s">
        <v>382</v>
      </c>
      <c r="P39" s="3" t="s">
        <v>357</v>
      </c>
      <c r="R39" s="12">
        <v>45</v>
      </c>
      <c r="S39" s="3">
        <v>38</v>
      </c>
      <c r="T39" s="3">
        <f>IF(R39=R38,T38, MAX(T$1:T38)+1)</f>
        <v>6</v>
      </c>
      <c r="U39" s="5" t="s">
        <v>267</v>
      </c>
      <c r="V39" s="5" t="s">
        <v>263</v>
      </c>
      <c r="W39" s="6">
        <v>36606</v>
      </c>
      <c r="X39" s="2">
        <v>4</v>
      </c>
      <c r="Z39" s="2" t="s">
        <v>150</v>
      </c>
      <c r="AA39" s="2">
        <v>60</v>
      </c>
      <c r="AB39" s="2">
        <v>41</v>
      </c>
      <c r="AC39" s="2" t="str">
        <f>IFERROR(INDEX('ringer measureables'!$A:$J,MATCH($A39,'ringer measureables'!$A:$A,FALSE),7), "")</f>
        <v>6'9</v>
      </c>
      <c r="AD39" s="2">
        <f>IFERROR(INDEX('ringer measureables'!$A:$J,MATCH($A39,'ringer measureables'!$A:$A,FALSE),9), "")</f>
        <v>250</v>
      </c>
      <c r="AE39" s="2" t="str">
        <f>IFERROR(INDEX('ringer measureables'!$A:$J,MATCH($A39,'ringer measureables'!$A:$A,FALSE),10), "")</f>
        <v>7'0.5</v>
      </c>
      <c r="AF39" s="2">
        <f>IFERROR(INDEX('ringer measureables'!$A:$J,MATCH($A39,'ringer measureables'!$A:$A,FALSE),8), "")</f>
        <v>0</v>
      </c>
      <c r="AG39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</v>
      </c>
    </row>
    <row r="40" spans="1:33">
      <c r="A40" t="s">
        <v>133</v>
      </c>
      <c r="B40" s="3" t="s">
        <v>18</v>
      </c>
      <c r="C40" s="3">
        <f>IFERROR(INDEX(actual!A:A,MATCH(A40,actual!B:B,FALSE)), "")</f>
        <v>22</v>
      </c>
      <c r="D40" s="3" t="str">
        <f>IFERROR(INDEX(actual!C:C,MATCH(A40,actual!B:B,FALSE)), "")</f>
        <v>DEN</v>
      </c>
      <c r="E40" s="3" t="s">
        <v>193</v>
      </c>
      <c r="F40" s="3" t="s">
        <v>28</v>
      </c>
      <c r="G40" s="4">
        <f t="shared" si="9"/>
        <v>19.857631759069132</v>
      </c>
      <c r="H40" s="3">
        <f t="shared" si="10"/>
        <v>83</v>
      </c>
      <c r="I40" s="3">
        <f t="shared" si="11"/>
        <v>240</v>
      </c>
      <c r="J40" s="3">
        <f t="shared" si="12"/>
        <v>85</v>
      </c>
      <c r="K40" s="3" t="str">
        <f t="shared" si="13"/>
        <v/>
      </c>
      <c r="L40" s="3" t="str">
        <f t="shared" si="15"/>
        <v>+2</v>
      </c>
      <c r="M40" s="4">
        <f t="shared" si="14"/>
        <v>1.0869565217391304</v>
      </c>
      <c r="O40" s="3" t="s">
        <v>369</v>
      </c>
      <c r="P40" s="11" t="s">
        <v>312</v>
      </c>
      <c r="R40" s="12">
        <v>45</v>
      </c>
      <c r="S40" s="3">
        <v>39</v>
      </c>
      <c r="T40" s="3">
        <f>IF(R40=R39,T39, MAX(T$1:T39)+1)</f>
        <v>6</v>
      </c>
      <c r="U40" s="5" t="s">
        <v>240</v>
      </c>
      <c r="V40" s="5" t="s">
        <v>241</v>
      </c>
      <c r="W40" s="6">
        <v>36900</v>
      </c>
      <c r="X40" s="2">
        <v>5</v>
      </c>
      <c r="Y40" s="2">
        <v>44</v>
      </c>
      <c r="Z40" s="2" t="s">
        <v>150</v>
      </c>
      <c r="AA40" s="2">
        <v>36</v>
      </c>
      <c r="AB40" s="2">
        <v>36</v>
      </c>
      <c r="AC40" s="2" t="str">
        <f>IFERROR(INDEX('ringer measureables'!$A:$J,MATCH($A40,'ringer measureables'!$A:$A,FALSE),7), "")</f>
        <v>6'11</v>
      </c>
      <c r="AD40" s="2">
        <f>IFERROR(INDEX('ringer measureables'!$A:$J,MATCH($A40,'ringer measureables'!$A:$A,FALSE),9), "")</f>
        <v>240</v>
      </c>
      <c r="AE40" s="2" t="str">
        <f>IFERROR(INDEX('ringer measureables'!$A:$J,MATCH($A40,'ringer measureables'!$A:$A,FALSE),10), "")</f>
        <v>7'1</v>
      </c>
      <c r="AF40" s="2">
        <f>IFERROR(INDEX('ringer measureables'!$A:$J,MATCH($A40,'ringer measureables'!$A:$A,FALSE),8), "")</f>
        <v>0</v>
      </c>
      <c r="AG40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</v>
      </c>
    </row>
    <row r="41" spans="1:33">
      <c r="A41" t="s">
        <v>116</v>
      </c>
      <c r="B41" s="3" t="s">
        <v>18</v>
      </c>
      <c r="C41" s="3">
        <f>IFERROR(INDEX(actual!A:A,MATCH(A41,actual!B:B,FALSE)), "")</f>
        <v>16</v>
      </c>
      <c r="D41" s="3" t="str">
        <f>IFERROR(INDEX(actual!C:C,MATCH(A41,actual!B:B,FALSE)), "")</f>
        <v>DET</v>
      </c>
      <c r="E41" s="3" t="s">
        <v>41</v>
      </c>
      <c r="F41" s="3" t="s">
        <v>28</v>
      </c>
      <c r="G41" s="4">
        <f t="shared" si="9"/>
        <v>19.493497604380561</v>
      </c>
      <c r="H41" s="3">
        <f t="shared" si="10"/>
        <v>81</v>
      </c>
      <c r="I41" s="3">
        <f t="shared" si="11"/>
        <v>250</v>
      </c>
      <c r="J41" s="3">
        <f t="shared" si="12"/>
        <v>88</v>
      </c>
      <c r="K41" s="3" t="str">
        <f t="shared" si="13"/>
        <v/>
      </c>
      <c r="L41" s="3" t="str">
        <f t="shared" si="15"/>
        <v>+7</v>
      </c>
      <c r="M41" s="4">
        <f t="shared" si="14"/>
        <v>1.3333333333333333</v>
      </c>
      <c r="N41" s="3" t="s">
        <v>0</v>
      </c>
      <c r="O41" s="3" t="s">
        <v>346</v>
      </c>
      <c r="P41" s="3" t="s">
        <v>347</v>
      </c>
      <c r="R41" s="12">
        <v>45</v>
      </c>
      <c r="S41" s="3">
        <v>40</v>
      </c>
      <c r="T41" s="3">
        <f>IF(R41=R40,T40, MAX(T$1:T40)+1)</f>
        <v>6</v>
      </c>
      <c r="U41" s="5" t="s">
        <v>202</v>
      </c>
      <c r="V41" s="5" t="s">
        <v>203</v>
      </c>
      <c r="W41" s="6">
        <v>37033</v>
      </c>
      <c r="X41" s="2">
        <v>5</v>
      </c>
      <c r="Y41" s="2">
        <v>30</v>
      </c>
      <c r="AA41" s="2">
        <v>26</v>
      </c>
      <c r="AB41" s="2">
        <v>27</v>
      </c>
      <c r="AC41" s="2" t="str">
        <f>IFERROR(INDEX('ringer measureables'!$A:$J,MATCH($A41,'ringer measureables'!$A:$A,FALSE),7), "")</f>
        <v>6'9</v>
      </c>
      <c r="AD41" s="2">
        <f>IFERROR(INDEX('ringer measureables'!$A:$J,MATCH($A41,'ringer measureables'!$A:$A,FALSE),9), "")</f>
        <v>250</v>
      </c>
      <c r="AE41" s="2" t="str">
        <f>IFERROR(INDEX('ringer measureables'!$A:$J,MATCH($A41,'ringer measureables'!$A:$A,FALSE),10), "")</f>
        <v>7'4</v>
      </c>
      <c r="AF41" s="2">
        <f>IFERROR(INDEX('ringer measureables'!$A:$J,MATCH($A41,'ringer measureables'!$A:$A,FALSE),8), "")</f>
        <v>0</v>
      </c>
      <c r="AG41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</v>
      </c>
    </row>
    <row r="42" spans="1:33">
      <c r="A42" t="s">
        <v>129</v>
      </c>
      <c r="B42" s="3" t="s">
        <v>21</v>
      </c>
      <c r="C42" s="3">
        <f>IFERROR(INDEX(actual!A:A,MATCH(A42,actual!B:B,FALSE)), "")</f>
        <v>53</v>
      </c>
      <c r="D42" s="3" t="str">
        <f>IFERROR(INDEX(actual!C:C,MATCH(A42,actual!B:B,FALSE)), "")</f>
        <v>WAS</v>
      </c>
      <c r="E42" s="3" t="s">
        <v>234</v>
      </c>
      <c r="F42" s="3" t="s">
        <v>46</v>
      </c>
      <c r="G42" s="4">
        <f t="shared" si="9"/>
        <v>22.720747530055945</v>
      </c>
      <c r="H42" s="3">
        <f t="shared" si="10"/>
        <v>73</v>
      </c>
      <c r="I42" s="3">
        <f t="shared" si="11"/>
        <v>185</v>
      </c>
      <c r="J42" s="3">
        <f t="shared" si="12"/>
        <v>77.25</v>
      </c>
      <c r="K42" s="3" t="str">
        <f t="shared" si="13"/>
        <v/>
      </c>
      <c r="L42" s="3" t="str">
        <f t="shared" si="15"/>
        <v>+4.25</v>
      </c>
      <c r="M42" s="4">
        <f t="shared" si="14"/>
        <v>1.3269230769230769</v>
      </c>
      <c r="N42" s="11" t="s">
        <v>0</v>
      </c>
      <c r="O42" s="11" t="s">
        <v>350</v>
      </c>
      <c r="P42" s="3" t="s">
        <v>365</v>
      </c>
      <c r="R42" s="12">
        <v>45</v>
      </c>
      <c r="S42" s="3">
        <v>41</v>
      </c>
      <c r="T42" s="3">
        <f>IF(R42=R41,T41, MAX(T$1:T41)+1)</f>
        <v>6</v>
      </c>
      <c r="U42" s="5" t="s">
        <v>232</v>
      </c>
      <c r="V42" s="5" t="s">
        <v>233</v>
      </c>
      <c r="W42" s="6">
        <v>35854</v>
      </c>
      <c r="X42" s="2">
        <v>5</v>
      </c>
      <c r="Y42" s="2">
        <v>41</v>
      </c>
      <c r="AA42" s="2">
        <v>32</v>
      </c>
      <c r="AB42" s="2">
        <v>29</v>
      </c>
      <c r="AC42" s="2" t="str">
        <f>IFERROR(INDEX('ringer measureables'!$A:$J,MATCH($A42,'ringer measureables'!$A:$A,FALSE),7), "")</f>
        <v>6'1</v>
      </c>
      <c r="AD42" s="2">
        <f>IFERROR(INDEX('ringer measureables'!$A:$J,MATCH($A42,'ringer measureables'!$A:$A,FALSE),9), "")</f>
        <v>185</v>
      </c>
      <c r="AE42" s="2" t="str">
        <f>IFERROR(INDEX('ringer measureables'!$A:$J,MATCH($A42,'ringer measureables'!$A:$A,FALSE),10), "")</f>
        <v>6'5.25</v>
      </c>
      <c r="AF42" s="2">
        <f>IFERROR(INDEX('ringer measureables'!$A:$J,MATCH($A42,'ringer measureables'!$A:$A,FALSE),8), "")</f>
        <v>0</v>
      </c>
      <c r="AG42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</v>
      </c>
    </row>
    <row r="43" spans="1:33">
      <c r="A43" t="s">
        <v>121</v>
      </c>
      <c r="B43" s="3" t="s">
        <v>21</v>
      </c>
      <c r="C43" s="3">
        <f>IFERROR(INDEX(actual!A:A,MATCH(A43,actual!B:B,FALSE)), "")</f>
        <v>29</v>
      </c>
      <c r="D43" s="3" t="str">
        <f>IFERROR(INDEX(actual!C:C,MATCH(A43,actual!B:B,FALSE)), "")</f>
        <v>TOR</v>
      </c>
      <c r="E43" s="3" t="s">
        <v>213</v>
      </c>
      <c r="F43" s="3" t="s">
        <v>45</v>
      </c>
      <c r="G43" s="4">
        <f t="shared" si="9"/>
        <v>22.526365908820381</v>
      </c>
      <c r="H43" s="3">
        <f t="shared" si="10"/>
        <v>73</v>
      </c>
      <c r="I43" s="3">
        <f t="shared" si="11"/>
        <v>185</v>
      </c>
      <c r="J43" s="3">
        <f t="shared" si="12"/>
        <v>75</v>
      </c>
      <c r="K43" s="3" t="str">
        <f t="shared" si="13"/>
        <v/>
      </c>
      <c r="L43" s="3" t="str">
        <f t="shared" si="15"/>
        <v>+2</v>
      </c>
      <c r="M43" s="4">
        <f t="shared" si="14"/>
        <v>1.1538461538461537</v>
      </c>
      <c r="O43" s="3" t="s">
        <v>350</v>
      </c>
      <c r="P43" s="3" t="s">
        <v>351</v>
      </c>
      <c r="R43" s="12">
        <v>45</v>
      </c>
      <c r="S43" s="3">
        <v>42</v>
      </c>
      <c r="T43" s="3">
        <f>IF(R43=R42,T42, MAX(T$1:T42)+1)</f>
        <v>6</v>
      </c>
      <c r="U43" s="5" t="s">
        <v>211</v>
      </c>
      <c r="V43" s="5" t="s">
        <v>212</v>
      </c>
      <c r="W43" s="6">
        <v>35925</v>
      </c>
      <c r="X43" s="2">
        <v>6</v>
      </c>
      <c r="Y43" s="2">
        <v>33</v>
      </c>
      <c r="AA43" s="2">
        <v>22</v>
      </c>
      <c r="AB43" s="2">
        <v>31</v>
      </c>
      <c r="AC43" s="2" t="str">
        <f>IFERROR(INDEX('ringer measureables'!$A:$J,MATCH($A43,'ringer measureables'!$A:$A,FALSE),7), "")</f>
        <v>6'1</v>
      </c>
      <c r="AD43" s="2">
        <f>IFERROR(INDEX('ringer measureables'!$A:$J,MATCH($A43,'ringer measureables'!$A:$A,FALSE),9), "")</f>
        <v>185</v>
      </c>
      <c r="AE43" s="2" t="str">
        <f>IFERROR(INDEX('ringer measureables'!$A:$J,MATCH($A43,'ringer measureables'!$A:$A,FALSE),10), "")</f>
        <v>6'3</v>
      </c>
      <c r="AF43" s="2">
        <f>IFERROR(INDEX('ringer measureables'!$A:$J,MATCH($A43,'ringer measureables'!$A:$A,FALSE),8), "")</f>
        <v>0</v>
      </c>
      <c r="AG43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</v>
      </c>
    </row>
    <row r="44" spans="1:33">
      <c r="A44" s="3" t="s">
        <v>255</v>
      </c>
      <c r="B44" s="3" t="s">
        <v>22</v>
      </c>
      <c r="C44" s="3">
        <f>IFERROR(INDEX(actual!A:A,MATCH(A44,actual!B:B,FALSE)), "")</f>
        <v>50</v>
      </c>
      <c r="D44" s="3" t="str">
        <f>IFERROR(INDEX(actual!C:C,MATCH(A44,actual!B:B,FALSE)), "")</f>
        <v>ATL</v>
      </c>
      <c r="E44" s="3" t="s">
        <v>262</v>
      </c>
      <c r="F44" s="3" t="s">
        <v>46</v>
      </c>
      <c r="G44" s="4">
        <f t="shared" si="9"/>
        <v>23.20328542094456</v>
      </c>
      <c r="H44" s="3">
        <f t="shared" si="10"/>
        <v>76</v>
      </c>
      <c r="I44" s="3">
        <f t="shared" si="11"/>
        <v>205</v>
      </c>
      <c r="J44" s="3">
        <f t="shared" si="12"/>
        <v>79</v>
      </c>
      <c r="K44" s="3" t="str">
        <f t="shared" si="13"/>
        <v/>
      </c>
      <c r="L44" s="3" t="str">
        <f t="shared" si="15"/>
        <v>+3</v>
      </c>
      <c r="M44" s="4">
        <f t="shared" si="14"/>
        <v>1.1875</v>
      </c>
      <c r="O44" s="3" t="s">
        <v>385</v>
      </c>
      <c r="P44" s="3" t="s">
        <v>26</v>
      </c>
      <c r="R44" s="12">
        <v>42</v>
      </c>
      <c r="S44" s="3">
        <v>43</v>
      </c>
      <c r="T44" s="3">
        <f>IF(R44=R43,T43, MAX(T$1:T43)+1)</f>
        <v>7</v>
      </c>
      <c r="U44" s="5" t="s">
        <v>260</v>
      </c>
      <c r="V44" s="5" t="s">
        <v>261</v>
      </c>
      <c r="W44" s="6">
        <v>35678</v>
      </c>
      <c r="X44" s="2">
        <v>5</v>
      </c>
      <c r="AA44" s="2">
        <v>38</v>
      </c>
      <c r="AB44" s="2">
        <v>46</v>
      </c>
      <c r="AC44" s="2" t="str">
        <f>IFERROR(INDEX('ringer measureables'!$A:$J,MATCH($A44,'ringer measureables'!$A:$A,FALSE),7), "")</f>
        <v>6'4</v>
      </c>
      <c r="AD44" s="2">
        <f>IFERROR(INDEX('ringer measureables'!$A:$J,MATCH($A44,'ringer measureables'!$A:$A,FALSE),9), "")</f>
        <v>205</v>
      </c>
      <c r="AE44" s="2" t="str">
        <f>IFERROR(INDEX('ringer measureables'!$A:$J,MATCH($A44,'ringer measureables'!$A:$A,FALSE),10), "")</f>
        <v>6'7</v>
      </c>
      <c r="AF44" s="2">
        <f>IFERROR(INDEX('ringer measureables'!$A:$J,MATCH($A44,'ringer measureables'!$A:$A,FALSE),8), "")</f>
        <v>0</v>
      </c>
      <c r="AG44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
  &lt;/ol&gt;
  &lt;h2&gt; Tier 7 (~40+ FV)&lt;/h2&gt;
  &lt;ol start='43 '&gt;
    &lt;li&gt;&lt;b&gt;&lt;a 
    target='_blank' 
    href='https://www.nba.com/draft/2020/prospects/skylar-mays#/'&gt;Skylar Mays&lt;/a&gt;&lt;/b&gt; - &lt;i&gt;SG -
    &lt;a target='_blank'
    href='https://www.sports-reference.com/cbb/players/skylar-mays-1.html'&gt;LSU&lt;/a&gt;&lt;/b&gt; &lt;/i&gt;&lt;/li&gt;
  &lt;ul style='list-style-type:none'&gt;
    &lt;li&gt;Grade: Senior &lt;/li&gt;
    &lt;li&gt;Age: 23.2 &lt;/li&gt;
    &lt;li&gt;Height: 76 in &lt;/li&gt;
    &lt;li&gt;Weight: 205 lbs &lt;/li&gt;
    &lt;li&gt;Wingspan: 79 in &lt;/li&gt;
    &lt;li&gt;Ape: +3 &lt;/li&gt;
    &lt;li&gt;+: shooting, off-ball defense &lt;/li&gt;
    &lt;li&gt;-: age &lt;/li&gt;
  &lt;/ul&gt;
  &lt;br&gt;</v>
      </c>
    </row>
    <row r="45" spans="1:33">
      <c r="A45" t="s">
        <v>131</v>
      </c>
      <c r="B45" s="3" t="s">
        <v>21</v>
      </c>
      <c r="C45" s="3">
        <f>IFERROR(INDEX(actual!A:A,MATCH(A45,actual!B:B,FALSE)), "")</f>
        <v>26</v>
      </c>
      <c r="D45" s="3" t="str">
        <f>IFERROR(INDEX(actual!C:C,MATCH(A45,actual!B:B,FALSE)), "")</f>
        <v>BOS</v>
      </c>
      <c r="E45" s="3" t="s">
        <v>24</v>
      </c>
      <c r="F45" s="3" t="s">
        <v>46</v>
      </c>
      <c r="G45" s="4">
        <f t="shared" si="9"/>
        <v>22.805618378764432</v>
      </c>
      <c r="H45" s="3">
        <f t="shared" si="10"/>
        <v>74</v>
      </c>
      <c r="I45" s="3">
        <f t="shared" si="11"/>
        <v>190</v>
      </c>
      <c r="J45" s="3">
        <f t="shared" si="12"/>
        <v>76</v>
      </c>
      <c r="K45" s="3" t="str">
        <f t="shared" si="13"/>
        <v/>
      </c>
      <c r="L45" s="3" t="str">
        <f t="shared" si="15"/>
        <v>+2</v>
      </c>
      <c r="M45" s="4">
        <f t="shared" si="14"/>
        <v>1.1428571428571428</v>
      </c>
      <c r="O45" s="3" t="s">
        <v>350</v>
      </c>
      <c r="P45" s="3" t="s">
        <v>366</v>
      </c>
      <c r="R45" s="12">
        <v>42</v>
      </c>
      <c r="S45" s="3">
        <v>44</v>
      </c>
      <c r="T45" s="3">
        <f>IF(R45=R44,T44, MAX(T$1:T44)+1)</f>
        <v>7</v>
      </c>
      <c r="U45" s="5" t="s">
        <v>235</v>
      </c>
      <c r="V45" s="5" t="s">
        <v>236</v>
      </c>
      <c r="W45" s="6">
        <v>35823</v>
      </c>
      <c r="X45" s="2">
        <v>6</v>
      </c>
      <c r="Y45" s="2">
        <v>42</v>
      </c>
      <c r="AA45" s="2">
        <v>40</v>
      </c>
      <c r="AB45" s="2">
        <v>38</v>
      </c>
      <c r="AC45" s="2" t="str">
        <f>IFERROR(INDEX('ringer measureables'!$A:$J,MATCH($A45,'ringer measureables'!$A:$A,FALSE),7), "")</f>
        <v>6'2</v>
      </c>
      <c r="AD45" s="2">
        <f>IFERROR(INDEX('ringer measureables'!$A:$J,MATCH($A45,'ringer measureables'!$A:$A,FALSE),9), "")</f>
        <v>190</v>
      </c>
      <c r="AE45" s="2" t="str">
        <f>IFERROR(INDEX('ringer measureables'!$A:$J,MATCH($A45,'ringer measureables'!$A:$A,FALSE),10), "")</f>
        <v>6'4</v>
      </c>
      <c r="AF45" s="2">
        <f>IFERROR(INDEX('ringer measureables'!$A:$J,MATCH($A45,'ringer measureables'!$A:$A,FALSE),8), "")</f>
        <v>0</v>
      </c>
      <c r="AG45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
  &lt;/ol&gt;
  &lt;h2&gt; Tier 7 (~40+ FV)&lt;/h2&gt;
  &lt;ol start='43 '&gt;
    &lt;li&gt;&lt;b&gt;&lt;a 
    target='_blank' 
    href='https://www.nba.com/draft/2020/prospects/skylar-mays#/'&gt;Skylar Mays&lt;/a&gt;&lt;/b&gt; - &lt;i&gt;SG -
    &lt;a target='_blank'
    href='https://www.sports-reference.com/cbb/players/skylar-mays-1.html'&gt;LSU&lt;/a&gt;&lt;/b&gt; &lt;/i&gt;&lt;/li&gt;
  &lt;ul style='list-style-type:none'&gt;
    &lt;li&gt;Grade: Senior &lt;/li&gt;
    &lt;li&gt;Age: 23.2 &lt;/li&gt;
    &lt;li&gt;Height: 76 in &lt;/li&gt;
    &lt;li&gt;Weight: 205 lbs &lt;/li&gt;
    &lt;li&gt;Wingspan: 79 in &lt;/li&gt;
    &lt;li&gt;Ape: +3 &lt;/li&gt;
    &lt;li&gt;+: shooting, off-ball defense &lt;/li&gt;
    &lt;li&gt;-: age &lt;/li&gt;
  &lt;/ul&gt;
  &lt;br&gt;  &lt;li&gt;&lt;b&gt;&lt;a 
    target='_blank' 
    href='https://www.nba.com/draft/2020/prospects/payton-pritchard#/'&gt;Payton Pritchard&lt;/a&gt;&lt;/b&gt; - &lt;i&gt;PG -
    &lt;a target='_blank'
    href='https://www.sports-reference.com/cbb/players/payton-pritchard-1.html'&gt;Oregon&lt;/a&gt;&lt;/b&gt; &lt;/i&gt;&lt;/li&gt;
  &lt;ul style='list-style-type:none'&gt;
    &lt;li&gt;Grade: Senior &lt;/li&gt;
    &lt;li&gt;Age: 22.8 &lt;/li&gt;
    &lt;li&gt;Height: 74 in &lt;/li&gt;
    &lt;li&gt;Weight: 190 lbs &lt;/li&gt;
    &lt;li&gt;Wingspan: 76 in &lt;/li&gt;
    &lt;li&gt;Ape: +2 &lt;/li&gt;
    &lt;li&gt;+: floor general, shooting &lt;/li&gt;
    &lt;li&gt;-: size, athleticism, shot selection &lt;/li&gt;
  &lt;/ul&gt;
  &lt;br&gt;</v>
      </c>
    </row>
    <row r="46" spans="1:33">
      <c r="A46" s="3" t="s">
        <v>9</v>
      </c>
      <c r="B46" s="3" t="s">
        <v>20</v>
      </c>
      <c r="C46" s="3">
        <f>IFERROR(INDEX(actual!A:A,MATCH(A46,actual!B:B,FALSE)), "")</f>
        <v>45</v>
      </c>
      <c r="D46" s="3" t="str">
        <f>IFERROR(INDEX(actual!C:C,MATCH(A46,actual!B:B,FALSE)), "")</f>
        <v>MIL</v>
      </c>
      <c r="E46" s="3" t="s">
        <v>265</v>
      </c>
      <c r="F46" s="3" t="s">
        <v>45</v>
      </c>
      <c r="G46" s="4">
        <f t="shared" si="9"/>
        <v>22.192358052612786</v>
      </c>
      <c r="H46" s="3">
        <f t="shared" si="10"/>
        <v>80</v>
      </c>
      <c r="I46" s="3">
        <f t="shared" si="11"/>
        <v>225</v>
      </c>
      <c r="J46" s="3">
        <f t="shared" si="12"/>
        <v>82.5</v>
      </c>
      <c r="K46" s="3" t="str">
        <f t="shared" si="13"/>
        <v/>
      </c>
      <c r="L46" s="3" t="str">
        <f t="shared" si="15"/>
        <v>+2.5</v>
      </c>
      <c r="M46" s="4">
        <f t="shared" si="14"/>
        <v>1.125</v>
      </c>
      <c r="O46" s="3" t="s">
        <v>302</v>
      </c>
      <c r="P46" s="3" t="s">
        <v>386</v>
      </c>
      <c r="R46" s="12">
        <v>42</v>
      </c>
      <c r="S46" s="3">
        <v>45</v>
      </c>
      <c r="T46" s="3">
        <f>IF(R46=R45,T45, MAX(T$1:T45)+1)</f>
        <v>7</v>
      </c>
      <c r="U46" s="5" t="s">
        <v>266</v>
      </c>
      <c r="V46" s="5" t="s">
        <v>264</v>
      </c>
      <c r="W46" s="6">
        <v>36047</v>
      </c>
      <c r="X46" s="2">
        <v>6</v>
      </c>
      <c r="Z46" s="2" t="s">
        <v>150</v>
      </c>
      <c r="AA46" s="2">
        <v>45</v>
      </c>
      <c r="AB46" s="2">
        <v>45</v>
      </c>
      <c r="AC46" s="2" t="str">
        <f>IFERROR(INDEX('ringer measureables'!$A:$J,MATCH($A46,'ringer measureables'!$A:$A,FALSE),7), "")</f>
        <v>6'8</v>
      </c>
      <c r="AD46" s="2">
        <f>IFERROR(INDEX('ringer measureables'!$A:$J,MATCH($A46,'ringer measureables'!$A:$A,FALSE),9), "")</f>
        <v>225</v>
      </c>
      <c r="AE46" s="2" t="str">
        <f>IFERROR(INDEX('ringer measureables'!$A:$J,MATCH($A46,'ringer measureables'!$A:$A,FALSE),10), "")</f>
        <v>6'10.5</v>
      </c>
      <c r="AF46" s="2">
        <f>IFERROR(INDEX('ringer measureables'!$A:$J,MATCH($A46,'ringer measureables'!$A:$A,FALSE),8), "")</f>
        <v>0</v>
      </c>
      <c r="AG46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
  &lt;/ol&gt;
  &lt;h2&gt; Tier 7 (~40+ FV)&lt;/h2&gt;
  &lt;ol start='43 '&gt;
    &lt;li&gt;&lt;b&gt;&lt;a 
    target='_blank' 
    href='https://www.nba.com/draft/2020/prospects/skylar-mays#/'&gt;Skylar Mays&lt;/a&gt;&lt;/b&gt; - &lt;i&gt;SG -
    &lt;a target='_blank'
    href='https://www.sports-reference.com/cbb/players/skylar-mays-1.html'&gt;LSU&lt;/a&gt;&lt;/b&gt; &lt;/i&gt;&lt;/li&gt;
  &lt;ul style='list-style-type:none'&gt;
    &lt;li&gt;Grade: Senior &lt;/li&gt;
    &lt;li&gt;Age: 23.2 &lt;/li&gt;
    &lt;li&gt;Height: 76 in &lt;/li&gt;
    &lt;li&gt;Weight: 205 lbs &lt;/li&gt;
    &lt;li&gt;Wingspan: 79 in &lt;/li&gt;
    &lt;li&gt;Ape: +3 &lt;/li&gt;
    &lt;li&gt;+: shooting, off-ball defense &lt;/li&gt;
    &lt;li&gt;-: age &lt;/li&gt;
  &lt;/ul&gt;
  &lt;br&gt;  &lt;li&gt;&lt;b&gt;&lt;a 
    target='_blank' 
    href='https://www.nba.com/draft/2020/prospects/payton-pritchard#/'&gt;Payton Pritchard&lt;/a&gt;&lt;/b&gt; - &lt;i&gt;PG -
    &lt;a target='_blank'
    href='https://www.sports-reference.com/cbb/players/payton-pritchard-1.html'&gt;Oregon&lt;/a&gt;&lt;/b&gt; &lt;/i&gt;&lt;/li&gt;
  &lt;ul style='list-style-type:none'&gt;
    &lt;li&gt;Grade: Senior &lt;/li&gt;
    &lt;li&gt;Age: 22.8 &lt;/li&gt;
    &lt;li&gt;Height: 74 in &lt;/li&gt;
    &lt;li&gt;Weight: 190 lbs &lt;/li&gt;
    &lt;li&gt;Wingspan: 76 in &lt;/li&gt;
    &lt;li&gt;Ape: +2 &lt;/li&gt;
    &lt;li&gt;+: floor general, shooting &lt;/li&gt;
    &lt;li&gt;-: size, athleticism, shot selection &lt;/li&gt;
  &lt;/ul&gt;
  &lt;br&gt;  &lt;li&gt;&lt;b&gt;&lt;a 
    target='_blank' 
    href='https://www.nba.com/draft/2020/prospects/jordan-nwora#/'&gt;Jordan Nwora&lt;/a&gt;&lt;/b&gt; - &lt;i&gt;SF -
    &lt;a target='_blank'
    href='https://www.sports-reference.com/cbb/players/jordan-nwora-1.html'&gt;Louisville&lt;/a&gt;&lt;/b&gt; &lt;/i&gt;&lt;/li&gt;
  &lt;ul style='list-style-type:none'&gt;
    &lt;li&gt;Grade: Junior &lt;/li&gt;
    &lt;li&gt;Age: 22.2 &lt;/li&gt;
    &lt;li&gt;Height: 80 in &lt;/li&gt;
    &lt;li&gt;Weight: 225 lbs &lt;/li&gt;
    &lt;li&gt;Wingspan: 82.5 in &lt;/li&gt;
    &lt;li&gt;Ape: +2.5 &lt;/li&gt;
    &lt;li&gt;+: shooting &lt;/li&gt;
    &lt;li&gt;-: age, playmaking, defense &lt;/li&gt;
  &lt;/ul&gt;
  &lt;br&gt;</v>
      </c>
    </row>
    <row r="47" spans="1:33">
      <c r="A47" t="s">
        <v>128</v>
      </c>
      <c r="B47" s="3" t="s">
        <v>21</v>
      </c>
      <c r="C47" s="3">
        <f>IFERROR(INDEX(actual!A:A,MATCH(A47,actual!B:B,FALSE)), "")</f>
        <v>47</v>
      </c>
      <c r="D47" s="3" t="str">
        <f>IFERROR(INDEX(actual!C:C,MATCH(A47,actual!B:B,FALSE)), "")</f>
        <v>BOS</v>
      </c>
      <c r="E47" s="3" t="s">
        <v>231</v>
      </c>
      <c r="G47" s="4">
        <f t="shared" si="9"/>
        <v>19.90770434102464</v>
      </c>
      <c r="H47" s="3">
        <f t="shared" si="10"/>
        <v>75</v>
      </c>
      <c r="I47" s="3">
        <f t="shared" si="11"/>
        <v>180</v>
      </c>
      <c r="J47" s="3" t="str">
        <f t="shared" si="12"/>
        <v/>
      </c>
      <c r="K47" s="3" t="str">
        <f t="shared" si="13"/>
        <v/>
      </c>
      <c r="L47" s="3" t="str">
        <f>IFERROR(IF(J47-H47&gt;= 0, "+", ""),"") &amp; IFERROR(IF(J47-H47&gt;= -5, J47-H47, ""),"")</f>
        <v/>
      </c>
      <c r="M47" s="4" t="str">
        <f t="shared" si="14"/>
        <v/>
      </c>
      <c r="O47" s="3" t="s">
        <v>334</v>
      </c>
      <c r="P47" s="3" t="s">
        <v>363</v>
      </c>
      <c r="R47" s="12">
        <v>42</v>
      </c>
      <c r="S47" s="3">
        <v>46</v>
      </c>
      <c r="T47" s="3">
        <f>IF(R47=R46,T46, MAX(T$1:T46)+1)</f>
        <v>7</v>
      </c>
      <c r="U47" s="5" t="s">
        <v>229</v>
      </c>
      <c r="V47" s="5" t="s">
        <v>230</v>
      </c>
      <c r="W47" s="6">
        <v>36881</v>
      </c>
      <c r="X47" s="2">
        <v>6</v>
      </c>
      <c r="Y47" s="2">
        <v>40</v>
      </c>
      <c r="AA47" s="2">
        <v>79</v>
      </c>
      <c r="AB47" s="2">
        <v>50</v>
      </c>
      <c r="AC47" s="2" t="str">
        <f>IFERROR(INDEX('ringer measureables'!$A:$J,MATCH($A47,'ringer measureables'!$A:$A,FALSE),7), "")</f>
        <v>6'3</v>
      </c>
      <c r="AD47" s="2">
        <f>IFERROR(INDEX('ringer measureables'!$A:$J,MATCH($A47,'ringer measureables'!$A:$A,FALSE),9), "")</f>
        <v>180</v>
      </c>
      <c r="AE47" s="2">
        <f>IFERROR(INDEX('ringer measureables'!$A:$J,MATCH($A47,'ringer measureables'!$A:$A,FALSE),10), "")</f>
        <v>0</v>
      </c>
      <c r="AF47" s="2">
        <f>IFERROR(INDEX('ringer measureables'!$A:$J,MATCH($A47,'ringer measureables'!$A:$A,FALSE),8), "")</f>
        <v>0</v>
      </c>
      <c r="AG47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
  &lt;/ol&gt;
  &lt;h2&gt; Tier 7 (~40+ FV)&lt;/h2&gt;
  &lt;ol start='43 '&gt;
    &lt;li&gt;&lt;b&gt;&lt;a 
    target='_blank' 
    href='https://www.nba.com/draft/2020/prospects/skylar-mays#/'&gt;Skylar Mays&lt;/a&gt;&lt;/b&gt; - &lt;i&gt;SG -
    &lt;a target='_blank'
    href='https://www.sports-reference.com/cbb/players/skylar-mays-1.html'&gt;LSU&lt;/a&gt;&lt;/b&gt; &lt;/i&gt;&lt;/li&gt;
  &lt;ul style='list-style-type:none'&gt;
    &lt;li&gt;Grade: Senior &lt;/li&gt;
    &lt;li&gt;Age: 23.2 &lt;/li&gt;
    &lt;li&gt;Height: 76 in &lt;/li&gt;
    &lt;li&gt;Weight: 205 lbs &lt;/li&gt;
    &lt;li&gt;Wingspan: 79 in &lt;/li&gt;
    &lt;li&gt;Ape: +3 &lt;/li&gt;
    &lt;li&gt;+: shooting, off-ball defense &lt;/li&gt;
    &lt;li&gt;-: age &lt;/li&gt;
  &lt;/ul&gt;
  &lt;br&gt;  &lt;li&gt;&lt;b&gt;&lt;a 
    target='_blank' 
    href='https://www.nba.com/draft/2020/prospects/payton-pritchard#/'&gt;Payton Pritchard&lt;/a&gt;&lt;/b&gt; - &lt;i&gt;PG -
    &lt;a target='_blank'
    href='https://www.sports-reference.com/cbb/players/payton-pritchard-1.html'&gt;Oregon&lt;/a&gt;&lt;/b&gt; &lt;/i&gt;&lt;/li&gt;
  &lt;ul style='list-style-type:none'&gt;
    &lt;li&gt;Grade: Senior &lt;/li&gt;
    &lt;li&gt;Age: 22.8 &lt;/li&gt;
    &lt;li&gt;Height: 74 in &lt;/li&gt;
    &lt;li&gt;Weight: 190 lbs &lt;/li&gt;
    &lt;li&gt;Wingspan: 76 in &lt;/li&gt;
    &lt;li&gt;Ape: +2 &lt;/li&gt;
    &lt;li&gt;+: floor general, shooting &lt;/li&gt;
    &lt;li&gt;-: size, athleticism, shot selection &lt;/li&gt;
  &lt;/ul&gt;
  &lt;br&gt;  &lt;li&gt;&lt;b&gt;&lt;a 
    target='_blank' 
    href='https://www.nba.com/draft/2020/prospects/jordan-nwora#/'&gt;Jordan Nwora&lt;/a&gt;&lt;/b&gt; - &lt;i&gt;SF -
    &lt;a target='_blank'
    href='https://www.sports-reference.com/cbb/players/jordan-nwora-1.html'&gt;Louisville&lt;/a&gt;&lt;/b&gt; &lt;/i&gt;&lt;/li&gt;
  &lt;ul style='list-style-type:none'&gt;
    &lt;li&gt;Grade: Junior &lt;/li&gt;
    &lt;li&gt;Age: 22.2 &lt;/li&gt;
    &lt;li&gt;Height: 80 in &lt;/li&gt;
    &lt;li&gt;Weight: 225 lbs &lt;/li&gt;
    &lt;li&gt;Wingspan: 82.5 in &lt;/li&gt;
    &lt;li&gt;Ape: +2.5 &lt;/li&gt;
    &lt;li&gt;+: shooting &lt;/li&gt;
    &lt;li&gt;-: age, playmaking, defense &lt;/li&gt;
  &lt;/ul&gt;
  &lt;br&gt;  &lt;li&gt;&lt;b&gt;&lt;a 
    target='_blank' 
    href='https://www.nba.com/draft/2020/prospects/yam-madar#/'&gt;Yam Madar&lt;/a&gt;&lt;/b&gt; - &lt;i&gt;PG -
    &lt;a target='_blank'
    href='https://www.basketball-reference.com/international/players/yam-madar-1.html'&gt;Hapoel Tel Aviv (Israel)&lt;/a&gt;&lt;/b&gt; &lt;/i&gt;&lt;/li&gt;
  &lt;ul style='list-style-type:none'&gt;
    &lt;li&gt;Age: 19.9 &lt;/li&gt;
    &lt;li&gt;Height: 75 in &lt;/li&gt;
    &lt;li&gt;Weight: 180 lbs &lt;/li&gt;
    &lt;li&gt;+: playmaking, basketball IQ &lt;/li&gt;
    &lt;li&gt;-: size, shooting &lt;/li&gt;
  &lt;/ul&gt;
  &lt;br&gt;</v>
      </c>
    </row>
    <row r="48" spans="1:33">
      <c r="A48" t="s">
        <v>139</v>
      </c>
      <c r="B48" s="3" t="s">
        <v>18</v>
      </c>
      <c r="C48" s="3">
        <f>IFERROR(INDEX(actual!A:A,MATCH(A48,actual!B:B,FALSE)), "")</f>
        <v>27</v>
      </c>
      <c r="D48" s="3" t="str">
        <f>IFERROR(INDEX(actual!C:C,MATCH(A48,actual!B:B,FALSE)), "")</f>
        <v>UTA</v>
      </c>
      <c r="E48" s="3" t="s">
        <v>201</v>
      </c>
      <c r="F48" s="3" t="s">
        <v>46</v>
      </c>
      <c r="G48" s="4">
        <f t="shared" si="9"/>
        <v>21.170482827277255</v>
      </c>
      <c r="H48" s="3">
        <f t="shared" si="10"/>
        <v>84</v>
      </c>
      <c r="I48" s="3">
        <f t="shared" si="11"/>
        <v>270</v>
      </c>
      <c r="J48" s="3">
        <f t="shared" si="12"/>
        <v>91</v>
      </c>
      <c r="K48" s="3" t="str">
        <f t="shared" si="13"/>
        <v/>
      </c>
      <c r="L48" s="3" t="str">
        <f t="shared" ref="L48:L56" si="16">IFERROR(IF(AND(J48-H48&gt;= 0, J48 &gt; 0), "+", ""),"") &amp; IFERROR(IF(AND(J48-H48&gt;= -5, J48 &gt; 0), J48-H48, ""),"")</f>
        <v>+7</v>
      </c>
      <c r="M48" s="4">
        <f t="shared" si="14"/>
        <v>1.2916666666666667</v>
      </c>
      <c r="N48" s="3" t="s">
        <v>379</v>
      </c>
      <c r="O48" s="3" t="s">
        <v>381</v>
      </c>
      <c r="P48" s="3" t="s">
        <v>380</v>
      </c>
      <c r="R48" s="12">
        <v>42</v>
      </c>
      <c r="S48" s="3">
        <v>47</v>
      </c>
      <c r="T48" s="3">
        <f>IF(R48=R47,T47, MAX(T$1:T47)+1)</f>
        <v>7</v>
      </c>
      <c r="U48" s="5" t="s">
        <v>253</v>
      </c>
      <c r="V48" s="5" t="s">
        <v>254</v>
      </c>
      <c r="W48" s="6">
        <v>36420</v>
      </c>
      <c r="X48" s="2">
        <v>6</v>
      </c>
      <c r="Y48" s="2">
        <v>50</v>
      </c>
      <c r="AA48" s="2">
        <v>50</v>
      </c>
      <c r="AB48" s="2">
        <v>33</v>
      </c>
      <c r="AC48" s="2" t="str">
        <f>IFERROR(INDEX('ringer measureables'!$A:$J,MATCH($A48,'ringer measureables'!$A:$A,FALSE),7), "")</f>
        <v>7'0</v>
      </c>
      <c r="AD48" s="2">
        <f>IFERROR(INDEX('ringer measureables'!$A:$J,MATCH($A48,'ringer measureables'!$A:$A,FALSE),9), "")</f>
        <v>270</v>
      </c>
      <c r="AE48" s="2" t="str">
        <f>IFERROR(INDEX('ringer measureables'!$A:$J,MATCH($A48,'ringer measureables'!$A:$A,FALSE),10), "")</f>
        <v>7'7</v>
      </c>
      <c r="AF48" s="2">
        <f>IFERROR(INDEX('ringer measureables'!$A:$J,MATCH($A48,'ringer measureables'!$A:$A,FALSE),8), "")</f>
        <v>0</v>
      </c>
      <c r="AG48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
  &lt;/ol&gt;
  &lt;h2&gt; Tier 7 (~40+ FV)&lt;/h2&gt;
  &lt;ol start='43 '&gt;
    &lt;li&gt;&lt;b&gt;&lt;a 
    target='_blank' 
    href='https://www.nba.com/draft/2020/prospects/skylar-mays#/'&gt;Skylar Mays&lt;/a&gt;&lt;/b&gt; - &lt;i&gt;SG -
    &lt;a target='_blank'
    href='https://www.sports-reference.com/cbb/players/skylar-mays-1.html'&gt;LSU&lt;/a&gt;&lt;/b&gt; &lt;/i&gt;&lt;/li&gt;
  &lt;ul style='list-style-type:none'&gt;
    &lt;li&gt;Grade: Senior &lt;/li&gt;
    &lt;li&gt;Age: 23.2 &lt;/li&gt;
    &lt;li&gt;Height: 76 in &lt;/li&gt;
    &lt;li&gt;Weight: 205 lbs &lt;/li&gt;
    &lt;li&gt;Wingspan: 79 in &lt;/li&gt;
    &lt;li&gt;Ape: +3 &lt;/li&gt;
    &lt;li&gt;+: shooting, off-ball defense &lt;/li&gt;
    &lt;li&gt;-: age &lt;/li&gt;
  &lt;/ul&gt;
  &lt;br&gt;  &lt;li&gt;&lt;b&gt;&lt;a 
    target='_blank' 
    href='https://www.nba.com/draft/2020/prospects/payton-pritchard#/'&gt;Payton Pritchard&lt;/a&gt;&lt;/b&gt; - &lt;i&gt;PG -
    &lt;a target='_blank'
    href='https://www.sports-reference.com/cbb/players/payton-pritchard-1.html'&gt;Oregon&lt;/a&gt;&lt;/b&gt; &lt;/i&gt;&lt;/li&gt;
  &lt;ul style='list-style-type:none'&gt;
    &lt;li&gt;Grade: Senior &lt;/li&gt;
    &lt;li&gt;Age: 22.8 &lt;/li&gt;
    &lt;li&gt;Height: 74 in &lt;/li&gt;
    &lt;li&gt;Weight: 190 lbs &lt;/li&gt;
    &lt;li&gt;Wingspan: 76 in &lt;/li&gt;
    &lt;li&gt;Ape: +2 &lt;/li&gt;
    &lt;li&gt;+: floor general, shooting &lt;/li&gt;
    &lt;li&gt;-: size, athleticism, shot selection &lt;/li&gt;
  &lt;/ul&gt;
  &lt;br&gt;  &lt;li&gt;&lt;b&gt;&lt;a 
    target='_blank' 
    href='https://www.nba.com/draft/2020/prospects/jordan-nwora#/'&gt;Jordan Nwora&lt;/a&gt;&lt;/b&gt; - &lt;i&gt;SF -
    &lt;a target='_blank'
    href='https://www.sports-reference.com/cbb/players/jordan-nwora-1.html'&gt;Louisville&lt;/a&gt;&lt;/b&gt; &lt;/i&gt;&lt;/li&gt;
  &lt;ul style='list-style-type:none'&gt;
    &lt;li&gt;Grade: Junior &lt;/li&gt;
    &lt;li&gt;Age: 22.2 &lt;/li&gt;
    &lt;li&gt;Height: 80 in &lt;/li&gt;
    &lt;li&gt;Weight: 225 lbs &lt;/li&gt;
    &lt;li&gt;Wingspan: 82.5 in &lt;/li&gt;
    &lt;li&gt;Ape: +2.5 &lt;/li&gt;
    &lt;li&gt;+: shooting &lt;/li&gt;
    &lt;li&gt;-: age, playmaking, defense &lt;/li&gt;
  &lt;/ul&gt;
  &lt;br&gt;  &lt;li&gt;&lt;b&gt;&lt;a 
    target='_blank' 
    href='https://www.nba.com/draft/2020/prospects/yam-madar#/'&gt;Yam Madar&lt;/a&gt;&lt;/b&gt; - &lt;i&gt;PG -
    &lt;a target='_blank'
    href='https://www.basketball-reference.com/international/players/yam-madar-1.html'&gt;Hapoel Tel Aviv (Israel)&lt;/a&gt;&lt;/b&gt; &lt;/i&gt;&lt;/li&gt;
  &lt;ul style='list-style-type:none'&gt;
    &lt;li&gt;Age: 19.9 &lt;/li&gt;
    &lt;li&gt;Height: 75 in &lt;/li&gt;
    &lt;li&gt;Weight: 180 lbs &lt;/li&gt;
    &lt;li&gt;+: playmaking, basketball IQ &lt;/li&gt;
    &lt;li&gt;-: size, shooting &lt;/li&gt;
  &lt;/ul&gt;
  &lt;br&gt;  &lt;li&gt;&lt;b&gt;&lt;a 
    target='_blank' 
    href='https://www.nba.com/draft/2020/prospects/udoka-azubuike#/'&gt;Udoka Azubuike&lt;/a&gt;&lt;/b&gt; - &lt;i&gt;C -
    &lt;a target='_blank'
    href='https://www.sports-reference.com/cbb/players/udoka-azubuike-1.html'&gt;Kansas&lt;/a&gt;&lt;/b&gt; &lt;/i&gt;&lt;/li&gt;
  &lt;ul style='list-style-type:none'&gt;
    &lt;li&gt;Grade: Senior &lt;/li&gt;
    &lt;li&gt;Age: 21.2 &lt;/li&gt;
    &lt;li&gt;Height: 84 in &lt;/li&gt;
    &lt;li&gt;Weight: 270 lbs &lt;/li&gt;
    &lt;li&gt;Wingspan: 91 in &lt;/li&gt;
    &lt;li&gt;Ape: +7 &lt;/li&gt;
    &lt;li&gt;++: age, wingspan, frame &lt;/li&gt;
    &lt;li&gt;+: interior defense, athleticism &lt;/li&gt;
    &lt;li&gt;-: offense, defensive versatility &lt;/li&gt;
  &lt;/ul&gt;
  &lt;br&gt;</v>
      </c>
    </row>
    <row r="49" spans="1:33">
      <c r="A49" t="s">
        <v>126</v>
      </c>
      <c r="B49" s="3" t="s">
        <v>22</v>
      </c>
      <c r="C49" s="3">
        <f>IFERROR(INDEX(actual!A:A,MATCH(A49,actual!B:B,FALSE)), "")</f>
        <v>39</v>
      </c>
      <c r="D49" s="3" t="str">
        <f>IFERROR(INDEX(actual!C:C,MATCH(A49,actual!B:B,FALSE)), "")</f>
        <v>NOP</v>
      </c>
      <c r="E49" s="3" t="s">
        <v>226</v>
      </c>
      <c r="F49" s="3" t="s">
        <v>45</v>
      </c>
      <c r="G49" s="4">
        <f t="shared" si="9"/>
        <v>22.693369836924177</v>
      </c>
      <c r="H49" s="3">
        <f t="shared" si="10"/>
        <v>78</v>
      </c>
      <c r="I49" s="3">
        <f t="shared" si="11"/>
        <v>215</v>
      </c>
      <c r="J49" s="3" t="str">
        <f t="shared" si="12"/>
        <v/>
      </c>
      <c r="K49" s="3" t="str">
        <f t="shared" si="13"/>
        <v/>
      </c>
      <c r="L49" s="3" t="str">
        <f t="shared" si="16"/>
        <v/>
      </c>
      <c r="M49" s="4" t="str">
        <f t="shared" si="14"/>
        <v/>
      </c>
      <c r="O49" s="3" t="s">
        <v>319</v>
      </c>
      <c r="P49" s="3" t="s">
        <v>361</v>
      </c>
      <c r="R49" s="12">
        <v>40</v>
      </c>
      <c r="S49" s="3">
        <v>48</v>
      </c>
      <c r="T49" s="3">
        <f>IF(R49=R48,T48, MAX(T$1:T48)+1)</f>
        <v>8</v>
      </c>
      <c r="U49" s="5" t="s">
        <v>224</v>
      </c>
      <c r="V49" s="5" t="s">
        <v>225</v>
      </c>
      <c r="W49" s="6">
        <v>35864</v>
      </c>
      <c r="X49" s="2">
        <v>6</v>
      </c>
      <c r="Y49" s="2">
        <v>38</v>
      </c>
      <c r="AA49" s="2">
        <v>30</v>
      </c>
      <c r="AB49" s="2">
        <v>44</v>
      </c>
      <c r="AC49" s="2" t="str">
        <f>IFERROR(INDEX('ringer measureables'!$A:$J,MATCH($A49,'ringer measureables'!$A:$A,FALSE),7), "")</f>
        <v>6'6</v>
      </c>
      <c r="AD49" s="2">
        <f>IFERROR(INDEX('ringer measureables'!$A:$J,MATCH($A49,'ringer measureables'!$A:$A,FALSE),9), "")</f>
        <v>215</v>
      </c>
      <c r="AE49" s="2">
        <f>IFERROR(INDEX('ringer measureables'!$A:$J,MATCH($A49,'ringer measureables'!$A:$A,FALSE),10), "")</f>
        <v>0</v>
      </c>
      <c r="AF49" s="2">
        <f>IFERROR(INDEX('ringer measureables'!$A:$J,MATCH($A49,'ringer measureables'!$A:$A,FALSE),8), "")</f>
        <v>0</v>
      </c>
      <c r="AG49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
  &lt;/ol&gt;
  &lt;h2&gt; Tier 7 (~40+ FV)&lt;/h2&gt;
  &lt;ol start='43 '&gt;
    &lt;li&gt;&lt;b&gt;&lt;a 
    target='_blank' 
    href='https://www.nba.com/draft/2020/prospects/skylar-mays#/'&gt;Skylar Mays&lt;/a&gt;&lt;/b&gt; - &lt;i&gt;SG -
    &lt;a target='_blank'
    href='https://www.sports-reference.com/cbb/players/skylar-mays-1.html'&gt;LSU&lt;/a&gt;&lt;/b&gt; &lt;/i&gt;&lt;/li&gt;
  &lt;ul style='list-style-type:none'&gt;
    &lt;li&gt;Grade: Senior &lt;/li&gt;
    &lt;li&gt;Age: 23.2 &lt;/li&gt;
    &lt;li&gt;Height: 76 in &lt;/li&gt;
    &lt;li&gt;Weight: 205 lbs &lt;/li&gt;
    &lt;li&gt;Wingspan: 79 in &lt;/li&gt;
    &lt;li&gt;Ape: +3 &lt;/li&gt;
    &lt;li&gt;+: shooting, off-ball defense &lt;/li&gt;
    &lt;li&gt;-: age &lt;/li&gt;
  &lt;/ul&gt;
  &lt;br&gt;  &lt;li&gt;&lt;b&gt;&lt;a 
    target='_blank' 
    href='https://www.nba.com/draft/2020/prospects/payton-pritchard#/'&gt;Payton Pritchard&lt;/a&gt;&lt;/b&gt; - &lt;i&gt;PG -
    &lt;a target='_blank'
    href='https://www.sports-reference.com/cbb/players/payton-pritchard-1.html'&gt;Oregon&lt;/a&gt;&lt;/b&gt; &lt;/i&gt;&lt;/li&gt;
  &lt;ul style='list-style-type:none'&gt;
    &lt;li&gt;Grade: Senior &lt;/li&gt;
    &lt;li&gt;Age: 22.8 &lt;/li&gt;
    &lt;li&gt;Height: 74 in &lt;/li&gt;
    &lt;li&gt;Weight: 190 lbs &lt;/li&gt;
    &lt;li&gt;Wingspan: 76 in &lt;/li&gt;
    &lt;li&gt;Ape: +2 &lt;/li&gt;
    &lt;li&gt;+: floor general, shooting &lt;/li&gt;
    &lt;li&gt;-: size, athleticism, shot selection &lt;/li&gt;
  &lt;/ul&gt;
  &lt;br&gt;  &lt;li&gt;&lt;b&gt;&lt;a 
    target='_blank' 
    href='https://www.nba.com/draft/2020/prospects/jordan-nwora#/'&gt;Jordan Nwora&lt;/a&gt;&lt;/b&gt; - &lt;i&gt;SF -
    &lt;a target='_blank'
    href='https://www.sports-reference.com/cbb/players/jordan-nwora-1.html'&gt;Louisville&lt;/a&gt;&lt;/b&gt; &lt;/i&gt;&lt;/li&gt;
  &lt;ul style='list-style-type:none'&gt;
    &lt;li&gt;Grade: Junior &lt;/li&gt;
    &lt;li&gt;Age: 22.2 &lt;/li&gt;
    &lt;li&gt;Height: 80 in &lt;/li&gt;
    &lt;li&gt;Weight: 225 lbs &lt;/li&gt;
    &lt;li&gt;Wingspan: 82.5 in &lt;/li&gt;
    &lt;li&gt;Ape: +2.5 &lt;/li&gt;
    &lt;li&gt;+: shooting &lt;/li&gt;
    &lt;li&gt;-: age, playmaking, defense &lt;/li&gt;
  &lt;/ul&gt;
  &lt;br&gt;  &lt;li&gt;&lt;b&gt;&lt;a 
    target='_blank' 
    href='https://www.nba.com/draft/2020/prospects/yam-madar#/'&gt;Yam Madar&lt;/a&gt;&lt;/b&gt; - &lt;i&gt;PG -
    &lt;a target='_blank'
    href='https://www.basketball-reference.com/international/players/yam-madar-1.html'&gt;Hapoel Tel Aviv (Israel)&lt;/a&gt;&lt;/b&gt; &lt;/i&gt;&lt;/li&gt;
  &lt;ul style='list-style-type:none'&gt;
    &lt;li&gt;Age: 19.9 &lt;/li&gt;
    &lt;li&gt;Height: 75 in &lt;/li&gt;
    &lt;li&gt;Weight: 180 lbs &lt;/li&gt;
    &lt;li&gt;+: playmaking, basketball IQ &lt;/li&gt;
    &lt;li&gt;-: size, shooting &lt;/li&gt;
  &lt;/ul&gt;
  &lt;br&gt;  &lt;li&gt;&lt;b&gt;&lt;a 
    target='_blank' 
    href='https://www.nba.com/draft/2020/prospects/udoka-azubuike#/'&gt;Udoka Azubuike&lt;/a&gt;&lt;/b&gt; - &lt;i&gt;C -
    &lt;a target='_blank'
    href='https://www.sports-reference.com/cbb/players/udoka-azubuike-1.html'&gt;Kansas&lt;/a&gt;&lt;/b&gt; &lt;/i&gt;&lt;/li&gt;
  &lt;ul style='list-style-type:none'&gt;
    &lt;li&gt;Grade: Senior &lt;/li&gt;
    &lt;li&gt;Age: 21.2 &lt;/li&gt;
    &lt;li&gt;Height: 84 in &lt;/li&gt;
    &lt;li&gt;Weight: 270 lbs &lt;/li&gt;
    &lt;li&gt;Wingspan: 91 in &lt;/li&gt;
    &lt;li&gt;Ape: +7 &lt;/li&gt;
    &lt;li&gt;++: age, wingspan, frame &lt;/li&gt;
    &lt;li&gt;+: interior defense, athleticism &lt;/li&gt;
    &lt;li&gt;-: offense, defensive versatility &lt;/li&gt;
  &lt;/ul&gt;
  &lt;br&gt;
  &lt;/ol&gt;
  &lt;h2&gt; Tier 8 (~40 FV)&lt;/h2&gt;
  &lt;ol start='48 '&gt;
    &lt;li&gt;&lt;b&gt;&lt;a 
    target='_blank' 
    href='https://www.nba.com/draft/2020/prospects/elijah-hughes#/'&gt;Elijah Hughes&lt;/a&gt;&lt;/b&gt; - &lt;i&gt;SG -
    &lt;a target='_blank'
    href='https://www.sports-reference.com/cbb/players/elijah-hughes-1.html'&gt;Syracuse&lt;/a&gt;&lt;/b&gt; &lt;/i&gt;&lt;/li&gt;
  &lt;ul style='list-style-type:none'&gt;
    &lt;li&gt;Grade: Junior &lt;/li&gt;
    &lt;li&gt;Age: 22.7 &lt;/li&gt;
    &lt;li&gt;Height: 78 in &lt;/li&gt;
    &lt;li&gt;Weight: 215 lbs &lt;/li&gt;
    &lt;li&gt;+: scoring &lt;/li&gt;
    &lt;li&gt;-: athleticism, role &lt;/li&gt;
  &lt;/ul&gt;
  &lt;br&gt;</v>
      </c>
    </row>
    <row r="50" spans="1:33">
      <c r="A50" t="s">
        <v>137</v>
      </c>
      <c r="B50" s="3" t="s">
        <v>19</v>
      </c>
      <c r="C50" s="3">
        <f>IFERROR(INDEX(actual!A:A,MATCH(A50,actual!B:B,FALSE)), "")</f>
        <v>33</v>
      </c>
      <c r="D50" s="3" t="str">
        <f>IFERROR(INDEX(actual!C:C,MATCH(A50,actual!B:B,FALSE)), "")</f>
        <v>LAC</v>
      </c>
      <c r="E50" s="3" t="s">
        <v>250</v>
      </c>
      <c r="F50" s="3" t="s">
        <v>44</v>
      </c>
      <c r="G50" s="4">
        <f t="shared" si="9"/>
        <v>21.162269785963169</v>
      </c>
      <c r="H50" s="3">
        <f t="shared" si="10"/>
        <v>82</v>
      </c>
      <c r="I50" s="3">
        <f t="shared" si="11"/>
        <v>240</v>
      </c>
      <c r="J50" s="3">
        <f t="shared" si="12"/>
        <v>86</v>
      </c>
      <c r="K50" s="3" t="str">
        <f t="shared" si="13"/>
        <v/>
      </c>
      <c r="L50" s="3" t="str">
        <f t="shared" si="16"/>
        <v>+4</v>
      </c>
      <c r="M50" s="4">
        <f t="shared" si="14"/>
        <v>1.1818181818181819</v>
      </c>
      <c r="O50" s="3" t="s">
        <v>375</v>
      </c>
      <c r="P50" s="3" t="s">
        <v>376</v>
      </c>
      <c r="R50" s="12">
        <v>40</v>
      </c>
      <c r="S50" s="3">
        <v>49</v>
      </c>
      <c r="T50" s="3">
        <f>IF(R50=R49,T49, MAX(T$1:T49)+1)</f>
        <v>8</v>
      </c>
      <c r="U50" s="5" t="s">
        <v>248</v>
      </c>
      <c r="V50" s="5" t="s">
        <v>249</v>
      </c>
      <c r="W50" s="6">
        <v>36423</v>
      </c>
      <c r="X50" s="2">
        <v>6</v>
      </c>
      <c r="Y50" s="2">
        <v>48</v>
      </c>
      <c r="Z50" s="9"/>
      <c r="AA50" s="2">
        <v>34</v>
      </c>
      <c r="AB50" s="2">
        <v>37</v>
      </c>
      <c r="AC50" s="2" t="str">
        <f>IFERROR(INDEX('ringer measureables'!$A:$J,MATCH($A50,'ringer measureables'!$A:$A,FALSE),7), "")</f>
        <v>6'10</v>
      </c>
      <c r="AD50" s="2">
        <f>IFERROR(INDEX('ringer measureables'!$A:$J,MATCH($A50,'ringer measureables'!$A:$A,FALSE),9), "")</f>
        <v>240</v>
      </c>
      <c r="AE50" s="2" t="str">
        <f>IFERROR(INDEX('ringer measureables'!$A:$J,MATCH($A50,'ringer measureables'!$A:$A,FALSE),10), "")</f>
        <v>7'2</v>
      </c>
      <c r="AF50" s="2">
        <f>IFERROR(INDEX('ringer measureables'!$A:$J,MATCH($A50,'ringer measureables'!$A:$A,FALSE),8), "")</f>
        <v>0</v>
      </c>
      <c r="AG50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
  &lt;/ol&gt;
  &lt;h2&gt; Tier 7 (~40+ FV)&lt;/h2&gt;
  &lt;ol start='43 '&gt;
    &lt;li&gt;&lt;b&gt;&lt;a 
    target='_blank' 
    href='https://www.nba.com/draft/2020/prospects/skylar-mays#/'&gt;Skylar Mays&lt;/a&gt;&lt;/b&gt; - &lt;i&gt;SG -
    &lt;a target='_blank'
    href='https://www.sports-reference.com/cbb/players/skylar-mays-1.html'&gt;LSU&lt;/a&gt;&lt;/b&gt; &lt;/i&gt;&lt;/li&gt;
  &lt;ul style='list-style-type:none'&gt;
    &lt;li&gt;Grade: Senior &lt;/li&gt;
    &lt;li&gt;Age: 23.2 &lt;/li&gt;
    &lt;li&gt;Height: 76 in &lt;/li&gt;
    &lt;li&gt;Weight: 205 lbs &lt;/li&gt;
    &lt;li&gt;Wingspan: 79 in &lt;/li&gt;
    &lt;li&gt;Ape: +3 &lt;/li&gt;
    &lt;li&gt;+: shooting, off-ball defense &lt;/li&gt;
    &lt;li&gt;-: age &lt;/li&gt;
  &lt;/ul&gt;
  &lt;br&gt;  &lt;li&gt;&lt;b&gt;&lt;a 
    target='_blank' 
    href='https://www.nba.com/draft/2020/prospects/payton-pritchard#/'&gt;Payton Pritchard&lt;/a&gt;&lt;/b&gt; - &lt;i&gt;PG -
    &lt;a target='_blank'
    href='https://www.sports-reference.com/cbb/players/payton-pritchard-1.html'&gt;Oregon&lt;/a&gt;&lt;/b&gt; &lt;/i&gt;&lt;/li&gt;
  &lt;ul style='list-style-type:none'&gt;
    &lt;li&gt;Grade: Senior &lt;/li&gt;
    &lt;li&gt;Age: 22.8 &lt;/li&gt;
    &lt;li&gt;Height: 74 in &lt;/li&gt;
    &lt;li&gt;Weight: 190 lbs &lt;/li&gt;
    &lt;li&gt;Wingspan: 76 in &lt;/li&gt;
    &lt;li&gt;Ape: +2 &lt;/li&gt;
    &lt;li&gt;+: floor general, shooting &lt;/li&gt;
    &lt;li&gt;-: size, athleticism, shot selection &lt;/li&gt;
  &lt;/ul&gt;
  &lt;br&gt;  &lt;li&gt;&lt;b&gt;&lt;a 
    target='_blank' 
    href='https://www.nba.com/draft/2020/prospects/jordan-nwora#/'&gt;Jordan Nwora&lt;/a&gt;&lt;/b&gt; - &lt;i&gt;SF -
    &lt;a target='_blank'
    href='https://www.sports-reference.com/cbb/players/jordan-nwora-1.html'&gt;Louisville&lt;/a&gt;&lt;/b&gt; &lt;/i&gt;&lt;/li&gt;
  &lt;ul style='list-style-type:none'&gt;
    &lt;li&gt;Grade: Junior &lt;/li&gt;
    &lt;li&gt;Age: 22.2 &lt;/li&gt;
    &lt;li&gt;Height: 80 in &lt;/li&gt;
    &lt;li&gt;Weight: 225 lbs &lt;/li&gt;
    &lt;li&gt;Wingspan: 82.5 in &lt;/li&gt;
    &lt;li&gt;Ape: +2.5 &lt;/li&gt;
    &lt;li&gt;+: shooting &lt;/li&gt;
    &lt;li&gt;-: age, playmaking, defense &lt;/li&gt;
  &lt;/ul&gt;
  &lt;br&gt;  &lt;li&gt;&lt;b&gt;&lt;a 
    target='_blank' 
    href='https://www.nba.com/draft/2020/prospects/yam-madar#/'&gt;Yam Madar&lt;/a&gt;&lt;/b&gt; - &lt;i&gt;PG -
    &lt;a target='_blank'
    href='https://www.basketball-reference.com/international/players/yam-madar-1.html'&gt;Hapoel Tel Aviv (Israel)&lt;/a&gt;&lt;/b&gt; &lt;/i&gt;&lt;/li&gt;
  &lt;ul style='list-style-type:none'&gt;
    &lt;li&gt;Age: 19.9 &lt;/li&gt;
    &lt;li&gt;Height: 75 in &lt;/li&gt;
    &lt;li&gt;Weight: 180 lbs &lt;/li&gt;
    &lt;li&gt;+: playmaking, basketball IQ &lt;/li&gt;
    &lt;li&gt;-: size, shooting &lt;/li&gt;
  &lt;/ul&gt;
  &lt;br&gt;  &lt;li&gt;&lt;b&gt;&lt;a 
    target='_blank' 
    href='https://www.nba.com/draft/2020/prospects/udoka-azubuike#/'&gt;Udoka Azubuike&lt;/a&gt;&lt;/b&gt; - &lt;i&gt;C -
    &lt;a target='_blank'
    href='https://www.sports-reference.com/cbb/players/udoka-azubuike-1.html'&gt;Kansas&lt;/a&gt;&lt;/b&gt; &lt;/i&gt;&lt;/li&gt;
  &lt;ul style='list-style-type:none'&gt;
    &lt;li&gt;Grade: Senior &lt;/li&gt;
    &lt;li&gt;Age: 21.2 &lt;/li&gt;
    &lt;li&gt;Height: 84 in &lt;/li&gt;
    &lt;li&gt;Weight: 270 lbs &lt;/li&gt;
    &lt;li&gt;Wingspan: 91 in &lt;/li&gt;
    &lt;li&gt;Ape: +7 &lt;/li&gt;
    &lt;li&gt;++: age, wingspan, frame &lt;/li&gt;
    &lt;li&gt;+: interior defense, athleticism &lt;/li&gt;
    &lt;li&gt;-: offense, defensive versatility &lt;/li&gt;
  &lt;/ul&gt;
  &lt;br&gt;
  &lt;/ol&gt;
  &lt;h2&gt; Tier 8 (~40 FV)&lt;/h2&gt;
  &lt;ol start='48 '&gt;
    &lt;li&gt;&lt;b&gt;&lt;a 
    target='_blank' 
    href='https://www.nba.com/draft/2020/prospects/elijah-hughes#/'&gt;Elijah Hughes&lt;/a&gt;&lt;/b&gt; - &lt;i&gt;SG -
    &lt;a target='_blank'
    href='https://www.sports-reference.com/cbb/players/elijah-hughes-1.html'&gt;Syracuse&lt;/a&gt;&lt;/b&gt; &lt;/i&gt;&lt;/li&gt;
  &lt;ul style='list-style-type:none'&gt;
    &lt;li&gt;Grade: Junior &lt;/li&gt;
    &lt;li&gt;Age: 22.7 &lt;/li&gt;
    &lt;li&gt;Height: 78 in &lt;/li&gt;
    &lt;li&gt;Weight: 215 lbs &lt;/li&gt;
    &lt;li&gt;+: scoring &lt;/li&gt;
    &lt;li&gt;-: athleticism, role &lt;/li&gt;
  &lt;/ul&gt;
  &lt;br&gt;  &lt;li&gt;&lt;b&gt;&lt;a 
    target='_blank' 
    href='https://www.nba.com/draft/2020/prospects/daniel-oturu#/'&gt;Daniel Oturu&lt;/a&gt;&lt;/b&gt; - &lt;i&gt;PF -
    &lt;a target='_blank'
    href='https://www.sports-reference.com/cbb/players/daniel-oturu-1.html'&gt;Minnesota&lt;/a&gt;&lt;/b&gt; &lt;/i&gt;&lt;/li&gt;
  &lt;ul style='list-style-type:none'&gt;
    &lt;li&gt;Grade: Sophomore &lt;/li&gt;
    &lt;li&gt;Age: 21.2 &lt;/li&gt;
    &lt;li&gt;Height: 82 in &lt;/li&gt;
    &lt;li&gt;Weight: 240 lbs &lt;/li&gt;
    &lt;li&gt;Wingspan: 86 in &lt;/li&gt;
    &lt;li&gt;Ape: +4 &lt;/li&gt;
    &lt;li&gt;+: interior offense, interior defense &lt;/li&gt;
    &lt;li&gt;-: age, role &lt;/li&gt;
  &lt;/ul&gt;
  &lt;br&gt;</v>
      </c>
    </row>
    <row r="51" spans="1:33">
      <c r="A51" t="s">
        <v>136</v>
      </c>
      <c r="B51" s="3" t="s">
        <v>22</v>
      </c>
      <c r="C51" s="3">
        <f>IFERROR(INDEX(actual!A:A,MATCH(A51,actual!B:B,FALSE)), "")</f>
        <v>54</v>
      </c>
      <c r="D51" s="3" t="str">
        <f>IFERROR(INDEX(actual!C:C,MATCH(A51,actual!B:B,FALSE)), "")</f>
        <v>IND</v>
      </c>
      <c r="E51" s="3" t="s">
        <v>32</v>
      </c>
      <c r="F51" s="3" t="s">
        <v>28</v>
      </c>
      <c r="G51" s="4">
        <f t="shared" si="9"/>
        <v>21.252613240418121</v>
      </c>
      <c r="H51" s="3">
        <f t="shared" si="10"/>
        <v>78</v>
      </c>
      <c r="I51" s="3">
        <f t="shared" si="11"/>
        <v>193</v>
      </c>
      <c r="J51" s="3">
        <f t="shared" si="12"/>
        <v>79</v>
      </c>
      <c r="K51" s="3" t="str">
        <f t="shared" si="13"/>
        <v/>
      </c>
      <c r="L51" s="3" t="str">
        <f t="shared" si="16"/>
        <v>+1</v>
      </c>
      <c r="M51" s="4">
        <f t="shared" si="14"/>
        <v>1.0555555555555556</v>
      </c>
      <c r="N51" s="3" t="s">
        <v>291</v>
      </c>
      <c r="P51" s="11" t="s">
        <v>374</v>
      </c>
      <c r="Q51" s="3" t="s">
        <v>26</v>
      </c>
      <c r="R51" s="12">
        <v>40</v>
      </c>
      <c r="S51" s="3">
        <v>50</v>
      </c>
      <c r="T51" s="3">
        <f>IF(R51=R50,T50, MAX(T$1:T50)+1)</f>
        <v>8</v>
      </c>
      <c r="U51" s="5" t="s">
        <v>246</v>
      </c>
      <c r="V51" s="5" t="s">
        <v>247</v>
      </c>
      <c r="W51" s="6">
        <v>36390</v>
      </c>
      <c r="X51" s="2">
        <v>6</v>
      </c>
      <c r="Y51" s="2">
        <v>47</v>
      </c>
      <c r="AA51" s="2">
        <v>35</v>
      </c>
      <c r="AB51" s="2">
        <v>52</v>
      </c>
      <c r="AC51" s="2" t="str">
        <f>IFERROR(INDEX('ringer measureables'!$A:$J,MATCH($A51,'ringer measureables'!$A:$A,FALSE),7), "")</f>
        <v>6'6</v>
      </c>
      <c r="AD51" s="2">
        <f>IFERROR(INDEX('ringer measureables'!$A:$J,MATCH($A51,'ringer measureables'!$A:$A,FALSE),9), "")</f>
        <v>193</v>
      </c>
      <c r="AE51" s="2" t="str">
        <f>IFERROR(INDEX('ringer measureables'!$A:$J,MATCH($A51,'ringer measureables'!$A:$A,FALSE),10), "")</f>
        <v>6'7</v>
      </c>
      <c r="AF51" s="2">
        <f>IFERROR(INDEX('ringer measureables'!$A:$J,MATCH($A51,'ringer measureables'!$A:$A,FALSE),8), "")</f>
        <v>0</v>
      </c>
      <c r="AG51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
  &lt;/ol&gt;
  &lt;h2&gt; Tier 7 (~40+ FV)&lt;/h2&gt;
  &lt;ol start='43 '&gt;
    &lt;li&gt;&lt;b&gt;&lt;a 
    target='_blank' 
    href='https://www.nba.com/draft/2020/prospects/skylar-mays#/'&gt;Skylar Mays&lt;/a&gt;&lt;/b&gt; - &lt;i&gt;SG -
    &lt;a target='_blank'
    href='https://www.sports-reference.com/cbb/players/skylar-mays-1.html'&gt;LSU&lt;/a&gt;&lt;/b&gt; &lt;/i&gt;&lt;/li&gt;
  &lt;ul style='list-style-type:none'&gt;
    &lt;li&gt;Grade: Senior &lt;/li&gt;
    &lt;li&gt;Age: 23.2 &lt;/li&gt;
    &lt;li&gt;Height: 76 in &lt;/li&gt;
    &lt;li&gt;Weight: 205 lbs &lt;/li&gt;
    &lt;li&gt;Wingspan: 79 in &lt;/li&gt;
    &lt;li&gt;Ape: +3 &lt;/li&gt;
    &lt;li&gt;+: shooting, off-ball defense &lt;/li&gt;
    &lt;li&gt;-: age &lt;/li&gt;
  &lt;/ul&gt;
  &lt;br&gt;  &lt;li&gt;&lt;b&gt;&lt;a 
    target='_blank' 
    href='https://www.nba.com/draft/2020/prospects/payton-pritchard#/'&gt;Payton Pritchard&lt;/a&gt;&lt;/b&gt; - &lt;i&gt;PG -
    &lt;a target='_blank'
    href='https://www.sports-reference.com/cbb/players/payton-pritchard-1.html'&gt;Oregon&lt;/a&gt;&lt;/b&gt; &lt;/i&gt;&lt;/li&gt;
  &lt;ul style='list-style-type:none'&gt;
    &lt;li&gt;Grade: Senior &lt;/li&gt;
    &lt;li&gt;Age: 22.8 &lt;/li&gt;
    &lt;li&gt;Height: 74 in &lt;/li&gt;
    &lt;li&gt;Weight: 190 lbs &lt;/li&gt;
    &lt;li&gt;Wingspan: 76 in &lt;/li&gt;
    &lt;li&gt;Ape: +2 &lt;/li&gt;
    &lt;li&gt;+: floor general, shooting &lt;/li&gt;
    &lt;li&gt;-: size, athleticism, shot selection &lt;/li&gt;
  &lt;/ul&gt;
  &lt;br&gt;  &lt;li&gt;&lt;b&gt;&lt;a 
    target='_blank' 
    href='https://www.nba.com/draft/2020/prospects/jordan-nwora#/'&gt;Jordan Nwora&lt;/a&gt;&lt;/b&gt; - &lt;i&gt;SF -
    &lt;a target='_blank'
    href='https://www.sports-reference.com/cbb/players/jordan-nwora-1.html'&gt;Louisville&lt;/a&gt;&lt;/b&gt; &lt;/i&gt;&lt;/li&gt;
  &lt;ul style='list-style-type:none'&gt;
    &lt;li&gt;Grade: Junior &lt;/li&gt;
    &lt;li&gt;Age: 22.2 &lt;/li&gt;
    &lt;li&gt;Height: 80 in &lt;/li&gt;
    &lt;li&gt;Weight: 225 lbs &lt;/li&gt;
    &lt;li&gt;Wingspan: 82.5 in &lt;/li&gt;
    &lt;li&gt;Ape: +2.5 &lt;/li&gt;
    &lt;li&gt;+: shooting &lt;/li&gt;
    &lt;li&gt;-: age, playmaking, defense &lt;/li&gt;
  &lt;/ul&gt;
  &lt;br&gt;  &lt;li&gt;&lt;b&gt;&lt;a 
    target='_blank' 
    href='https://www.nba.com/draft/2020/prospects/yam-madar#/'&gt;Yam Madar&lt;/a&gt;&lt;/b&gt; - &lt;i&gt;PG -
    &lt;a target='_blank'
    href='https://www.basketball-reference.com/international/players/yam-madar-1.html'&gt;Hapoel Tel Aviv (Israel)&lt;/a&gt;&lt;/b&gt; &lt;/i&gt;&lt;/li&gt;
  &lt;ul style='list-style-type:none'&gt;
    &lt;li&gt;Age: 19.9 &lt;/li&gt;
    &lt;li&gt;Height: 75 in &lt;/li&gt;
    &lt;li&gt;Weight: 180 lbs &lt;/li&gt;
    &lt;li&gt;+: playmaking, basketball IQ &lt;/li&gt;
    &lt;li&gt;-: size, shooting &lt;/li&gt;
  &lt;/ul&gt;
  &lt;br&gt;  &lt;li&gt;&lt;b&gt;&lt;a 
    target='_blank' 
    href='https://www.nba.com/draft/2020/prospects/udoka-azubuike#/'&gt;Udoka Azubuike&lt;/a&gt;&lt;/b&gt; - &lt;i&gt;C -
    &lt;a target='_blank'
    href='https://www.sports-reference.com/cbb/players/udoka-azubuike-1.html'&gt;Kansas&lt;/a&gt;&lt;/b&gt; &lt;/i&gt;&lt;/li&gt;
  &lt;ul style='list-style-type:none'&gt;
    &lt;li&gt;Grade: Senior &lt;/li&gt;
    &lt;li&gt;Age: 21.2 &lt;/li&gt;
    &lt;li&gt;Height: 84 in &lt;/li&gt;
    &lt;li&gt;Weight: 270 lbs &lt;/li&gt;
    &lt;li&gt;Wingspan: 91 in &lt;/li&gt;
    &lt;li&gt;Ape: +7 &lt;/li&gt;
    &lt;li&gt;++: age, wingspan, frame &lt;/li&gt;
    &lt;li&gt;+: interior defense, athleticism &lt;/li&gt;
    &lt;li&gt;-: offense, defensive versatility &lt;/li&gt;
  &lt;/ul&gt;
  &lt;br&gt;
  &lt;/ol&gt;
  &lt;h2&gt; Tier 8 (~40 FV)&lt;/h2&gt;
  &lt;ol start='48 '&gt;
    &lt;li&gt;&lt;b&gt;&lt;a 
    target='_blank' 
    href='https://www.nba.com/draft/2020/prospects/elijah-hughes#/'&gt;Elijah Hughes&lt;/a&gt;&lt;/b&gt; - &lt;i&gt;SG -
    &lt;a target='_blank'
    href='https://www.sports-reference.com/cbb/players/elijah-hughes-1.html'&gt;Syracuse&lt;/a&gt;&lt;/b&gt; &lt;/i&gt;&lt;/li&gt;
  &lt;ul style='list-style-type:none'&gt;
    &lt;li&gt;Grade: Junior &lt;/li&gt;
    &lt;li&gt;Age: 22.7 &lt;/li&gt;
    &lt;li&gt;Height: 78 in &lt;/li&gt;
    &lt;li&gt;Weight: 215 lbs &lt;/li&gt;
    &lt;li&gt;+: scoring &lt;/li&gt;
    &lt;li&gt;-: athleticism, role &lt;/li&gt;
  &lt;/ul&gt;
  &lt;br&gt;  &lt;li&gt;&lt;b&gt;&lt;a 
    target='_blank' 
    href='https://www.nba.com/draft/2020/prospects/daniel-oturu#/'&gt;Daniel Oturu&lt;/a&gt;&lt;/b&gt; - &lt;i&gt;PF -
    &lt;a target='_blank'
    href='https://www.sports-reference.com/cbb/players/daniel-oturu-1.html'&gt;Minnesota&lt;/a&gt;&lt;/b&gt; &lt;/i&gt;&lt;/li&gt;
  &lt;ul style='list-style-type:none'&gt;
    &lt;li&gt;Grade: Sophomore &lt;/li&gt;
    &lt;li&gt;Age: 21.2 &lt;/li&gt;
    &lt;li&gt;Height: 82 in &lt;/li&gt;
    &lt;li&gt;Weight: 240 lbs &lt;/li&gt;
    &lt;li&gt;Wingspan: 86 in &lt;/li&gt;
    &lt;li&gt;Ape: +4 &lt;/li&gt;
    &lt;li&gt;+: interior offense, interior defense &lt;/li&gt;
    &lt;li&gt;-: age, role &lt;/li&gt;
  &lt;/ul&gt;
  &lt;br&gt;  &lt;li&gt;&lt;b&gt;&lt;a 
    target='_blank' 
    href='https://www.nba.com/draft/2020/prospects/cassius-stanley#/'&gt;Cassius Stanley&lt;/a&gt;&lt;/b&gt; - &lt;i&gt;SG -
    &lt;a target='_blank'
    href='https://www.sports-reference.com/cbb/players/cassius-stanley-1.html'&gt;Duke&lt;/a&gt;&lt;/b&gt; &lt;/i&gt;&lt;/li&gt;
  &lt;ul style='list-style-type:none'&gt;
    &lt;li&gt;Grade: Freshman &lt;/li&gt;
    &lt;li&gt;Age: 21.3 &lt;/li&gt;
    &lt;li&gt;Height: 78 in &lt;/li&gt;
    &lt;li&gt;Weight: 193 lbs &lt;/li&gt;
    &lt;li&gt;Wingspan: 79 in &lt;/li&gt;
    &lt;li&gt;Ape: +1 &lt;/li&gt;
    &lt;li&gt;++: athleticism &lt;/li&gt;
    &lt;li&gt;-: wingspan, decision making &lt;/li&gt;
    &lt;li&gt;--: age &lt;/li&gt;
  &lt;/ul&gt;
  &lt;br&gt;</v>
      </c>
    </row>
    <row r="52" spans="1:33">
      <c r="A52" s="3" t="s">
        <v>256</v>
      </c>
      <c r="B52" s="3" t="s">
        <v>22</v>
      </c>
      <c r="C52" s="3">
        <f>IFERROR(INDEX(actual!A:A,MATCH(A52,actual!B:B,FALSE)), "")</f>
        <v>59</v>
      </c>
      <c r="D52" s="3" t="str">
        <f>IFERROR(INDEX(actual!C:C,MATCH(A52,actual!B:B,FALSE)), "")</f>
        <v>TOR</v>
      </c>
      <c r="E52" s="3" t="s">
        <v>257</v>
      </c>
      <c r="F52" s="3" t="s">
        <v>45</v>
      </c>
      <c r="G52" s="4">
        <f t="shared" si="9"/>
        <v>22.263540054755389</v>
      </c>
      <c r="H52" s="3">
        <f t="shared" si="10"/>
        <v>77</v>
      </c>
      <c r="I52" s="3">
        <f t="shared" si="11"/>
        <v>195</v>
      </c>
      <c r="J52" s="3" t="str">
        <f t="shared" si="12"/>
        <v/>
      </c>
      <c r="K52" s="3" t="str">
        <f t="shared" si="13"/>
        <v/>
      </c>
      <c r="L52" s="3" t="str">
        <f t="shared" si="16"/>
        <v/>
      </c>
      <c r="M52" s="4" t="str">
        <f t="shared" si="14"/>
        <v/>
      </c>
      <c r="O52" s="3" t="s">
        <v>302</v>
      </c>
      <c r="P52" s="3" t="s">
        <v>387</v>
      </c>
      <c r="R52" s="12">
        <v>40</v>
      </c>
      <c r="S52" s="3">
        <v>51</v>
      </c>
      <c r="T52" s="3">
        <f>IF(R52=R51,T51, MAX(T$1:T51)+1)</f>
        <v>8</v>
      </c>
      <c r="U52" s="5" t="s">
        <v>259</v>
      </c>
      <c r="V52" s="5" t="s">
        <v>258</v>
      </c>
      <c r="W52" s="6">
        <v>36021</v>
      </c>
      <c r="X52" s="2">
        <v>5</v>
      </c>
      <c r="AA52" s="2">
        <v>72</v>
      </c>
      <c r="AB52" s="2">
        <v>81</v>
      </c>
      <c r="AC52" s="2" t="str">
        <f>IFERROR(INDEX('ringer measureables'!$A:$J,MATCH($A52,'ringer measureables'!$A:$A,FALSE),7), "")</f>
        <v>6'5</v>
      </c>
      <c r="AD52" s="2">
        <f>IFERROR(INDEX('ringer measureables'!$A:$J,MATCH($A52,'ringer measureables'!$A:$A,FALSE),9), "")</f>
        <v>195</v>
      </c>
      <c r="AE52" s="2">
        <f>IFERROR(INDEX('ringer measureables'!$A:$J,MATCH($A52,'ringer measureables'!$A:$A,FALSE),10), "")</f>
        <v>0</v>
      </c>
      <c r="AF52" s="2">
        <f>IFERROR(INDEX('ringer measureables'!$A:$J,MATCH($A52,'ringer measureables'!$A:$A,FALSE),8), "")</f>
        <v>0</v>
      </c>
      <c r="AG52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
  &lt;/ol&gt;
  &lt;h2&gt; Tier 7 (~40+ FV)&lt;/h2&gt;
  &lt;ol start='43 '&gt;
    &lt;li&gt;&lt;b&gt;&lt;a 
    target='_blank' 
    href='https://www.nba.com/draft/2020/prospects/skylar-mays#/'&gt;Skylar Mays&lt;/a&gt;&lt;/b&gt; - &lt;i&gt;SG -
    &lt;a target='_blank'
    href='https://www.sports-reference.com/cbb/players/skylar-mays-1.html'&gt;LSU&lt;/a&gt;&lt;/b&gt; &lt;/i&gt;&lt;/li&gt;
  &lt;ul style='list-style-type:none'&gt;
    &lt;li&gt;Grade: Senior &lt;/li&gt;
    &lt;li&gt;Age: 23.2 &lt;/li&gt;
    &lt;li&gt;Height: 76 in &lt;/li&gt;
    &lt;li&gt;Weight: 205 lbs &lt;/li&gt;
    &lt;li&gt;Wingspan: 79 in &lt;/li&gt;
    &lt;li&gt;Ape: +3 &lt;/li&gt;
    &lt;li&gt;+: shooting, off-ball defense &lt;/li&gt;
    &lt;li&gt;-: age &lt;/li&gt;
  &lt;/ul&gt;
  &lt;br&gt;  &lt;li&gt;&lt;b&gt;&lt;a 
    target='_blank' 
    href='https://www.nba.com/draft/2020/prospects/payton-pritchard#/'&gt;Payton Pritchard&lt;/a&gt;&lt;/b&gt; - &lt;i&gt;PG -
    &lt;a target='_blank'
    href='https://www.sports-reference.com/cbb/players/payton-pritchard-1.html'&gt;Oregon&lt;/a&gt;&lt;/b&gt; &lt;/i&gt;&lt;/li&gt;
  &lt;ul style='list-style-type:none'&gt;
    &lt;li&gt;Grade: Senior &lt;/li&gt;
    &lt;li&gt;Age: 22.8 &lt;/li&gt;
    &lt;li&gt;Height: 74 in &lt;/li&gt;
    &lt;li&gt;Weight: 190 lbs &lt;/li&gt;
    &lt;li&gt;Wingspan: 76 in &lt;/li&gt;
    &lt;li&gt;Ape: +2 &lt;/li&gt;
    &lt;li&gt;+: floor general, shooting &lt;/li&gt;
    &lt;li&gt;-: size, athleticism, shot selection &lt;/li&gt;
  &lt;/ul&gt;
  &lt;br&gt;  &lt;li&gt;&lt;b&gt;&lt;a 
    target='_blank' 
    href='https://www.nba.com/draft/2020/prospects/jordan-nwora#/'&gt;Jordan Nwora&lt;/a&gt;&lt;/b&gt; - &lt;i&gt;SF -
    &lt;a target='_blank'
    href='https://www.sports-reference.com/cbb/players/jordan-nwora-1.html'&gt;Louisville&lt;/a&gt;&lt;/b&gt; &lt;/i&gt;&lt;/li&gt;
  &lt;ul style='list-style-type:none'&gt;
    &lt;li&gt;Grade: Junior &lt;/li&gt;
    &lt;li&gt;Age: 22.2 &lt;/li&gt;
    &lt;li&gt;Height: 80 in &lt;/li&gt;
    &lt;li&gt;Weight: 225 lbs &lt;/li&gt;
    &lt;li&gt;Wingspan: 82.5 in &lt;/li&gt;
    &lt;li&gt;Ape: +2.5 &lt;/li&gt;
    &lt;li&gt;+: shooting &lt;/li&gt;
    &lt;li&gt;-: age, playmaking, defense &lt;/li&gt;
  &lt;/ul&gt;
  &lt;br&gt;  &lt;li&gt;&lt;b&gt;&lt;a 
    target='_blank' 
    href='https://www.nba.com/draft/2020/prospects/yam-madar#/'&gt;Yam Madar&lt;/a&gt;&lt;/b&gt; - &lt;i&gt;PG -
    &lt;a target='_blank'
    href='https://www.basketball-reference.com/international/players/yam-madar-1.html'&gt;Hapoel Tel Aviv (Israel)&lt;/a&gt;&lt;/b&gt; &lt;/i&gt;&lt;/li&gt;
  &lt;ul style='list-style-type:none'&gt;
    &lt;li&gt;Age: 19.9 &lt;/li&gt;
    &lt;li&gt;Height: 75 in &lt;/li&gt;
    &lt;li&gt;Weight: 180 lbs &lt;/li&gt;
    &lt;li&gt;+: playmaking, basketball IQ &lt;/li&gt;
    &lt;li&gt;-: size, shooting &lt;/li&gt;
  &lt;/ul&gt;
  &lt;br&gt;  &lt;li&gt;&lt;b&gt;&lt;a 
    target='_blank' 
    href='https://www.nba.com/draft/2020/prospects/udoka-azubuike#/'&gt;Udoka Azubuike&lt;/a&gt;&lt;/b&gt; - &lt;i&gt;C -
    &lt;a target='_blank'
    href='https://www.sports-reference.com/cbb/players/udoka-azubuike-1.html'&gt;Kansas&lt;/a&gt;&lt;/b&gt; &lt;/i&gt;&lt;/li&gt;
  &lt;ul style='list-style-type:none'&gt;
    &lt;li&gt;Grade: Senior &lt;/li&gt;
    &lt;li&gt;Age: 21.2 &lt;/li&gt;
    &lt;li&gt;Height: 84 in &lt;/li&gt;
    &lt;li&gt;Weight: 270 lbs &lt;/li&gt;
    &lt;li&gt;Wingspan: 91 in &lt;/li&gt;
    &lt;li&gt;Ape: +7 &lt;/li&gt;
    &lt;li&gt;++: age, wingspan, frame &lt;/li&gt;
    &lt;li&gt;+: interior defense, athleticism &lt;/li&gt;
    &lt;li&gt;-: offense, defensive versatility &lt;/li&gt;
  &lt;/ul&gt;
  &lt;br&gt;
  &lt;/ol&gt;
  &lt;h2&gt; Tier 8 (~40 FV)&lt;/h2&gt;
  &lt;ol start='48 '&gt;
    &lt;li&gt;&lt;b&gt;&lt;a 
    target='_blank' 
    href='https://www.nba.com/draft/2020/prospects/elijah-hughes#/'&gt;Elijah Hughes&lt;/a&gt;&lt;/b&gt; - &lt;i&gt;SG -
    &lt;a target='_blank'
    href='https://www.sports-reference.com/cbb/players/elijah-hughes-1.html'&gt;Syracuse&lt;/a&gt;&lt;/b&gt; &lt;/i&gt;&lt;/li&gt;
  &lt;ul style='list-style-type:none'&gt;
    &lt;li&gt;Grade: Junior &lt;/li&gt;
    &lt;li&gt;Age: 22.7 &lt;/li&gt;
    &lt;li&gt;Height: 78 in &lt;/li&gt;
    &lt;li&gt;Weight: 215 lbs &lt;/li&gt;
    &lt;li&gt;+: scoring &lt;/li&gt;
    &lt;li&gt;-: athleticism, role &lt;/li&gt;
  &lt;/ul&gt;
  &lt;br&gt;  &lt;li&gt;&lt;b&gt;&lt;a 
    target='_blank' 
    href='https://www.nba.com/draft/2020/prospects/daniel-oturu#/'&gt;Daniel Oturu&lt;/a&gt;&lt;/b&gt; - &lt;i&gt;PF -
    &lt;a target='_blank'
    href='https://www.sports-reference.com/cbb/players/daniel-oturu-1.html'&gt;Minnesota&lt;/a&gt;&lt;/b&gt; &lt;/i&gt;&lt;/li&gt;
  &lt;ul style='list-style-type:none'&gt;
    &lt;li&gt;Grade: Sophomore &lt;/li&gt;
    &lt;li&gt;Age: 21.2 &lt;/li&gt;
    &lt;li&gt;Height: 82 in &lt;/li&gt;
    &lt;li&gt;Weight: 240 lbs &lt;/li&gt;
    &lt;li&gt;Wingspan: 86 in &lt;/li&gt;
    &lt;li&gt;Ape: +4 &lt;/li&gt;
    &lt;li&gt;+: interior offense, interior defense &lt;/li&gt;
    &lt;li&gt;-: age, role &lt;/li&gt;
  &lt;/ul&gt;
  &lt;br&gt;  &lt;li&gt;&lt;b&gt;&lt;a 
    target='_blank' 
    href='https://www.nba.com/draft/2020/prospects/cassius-stanley#/'&gt;Cassius Stanley&lt;/a&gt;&lt;/b&gt; - &lt;i&gt;SG -
    &lt;a target='_blank'
    href='https://www.sports-reference.com/cbb/players/cassius-stanley-1.html'&gt;Duke&lt;/a&gt;&lt;/b&gt; &lt;/i&gt;&lt;/li&gt;
  &lt;ul style='list-style-type:none'&gt;
    &lt;li&gt;Grade: Freshman &lt;/li&gt;
    &lt;li&gt;Age: 21.3 &lt;/li&gt;
    &lt;li&gt;Height: 78 in &lt;/li&gt;
    &lt;li&gt;Weight: 193 lbs &lt;/li&gt;
    &lt;li&gt;Wingspan: 79 in &lt;/li&gt;
    &lt;li&gt;Ape: +1 &lt;/li&gt;
    &lt;li&gt;++: athleticism &lt;/li&gt;
    &lt;li&gt;-: wingspan, decision making &lt;/li&gt;
    &lt;li&gt;--: age &lt;/li&gt;
  &lt;/ul&gt;
  &lt;br&gt;  &lt;li&gt;&lt;b&gt;&lt;a 
    target='_blank' 
    href='https://www.nba.com/draft/2020/prospects/jalen-harris#/'&gt;Jalen Harris&lt;/a&gt;&lt;/b&gt; - &lt;i&gt;SG -
    &lt;a target='_blank'
    href='https://www.sports-reference.com/cbb/players/jalen-harris-2.html'&gt;Nevada&lt;/a&gt;&lt;/b&gt; &lt;/i&gt;&lt;/li&gt;
  &lt;ul style='list-style-type:none'&gt;
    &lt;li&gt;Grade: Junior &lt;/li&gt;
    &lt;li&gt;Age: 22.3 &lt;/li&gt;
    &lt;li&gt;Height: 77 in &lt;/li&gt;
    &lt;li&gt;Weight: 195 lbs &lt;/li&gt;
    &lt;li&gt;+: shooting &lt;/li&gt;
    &lt;li&gt;-: age, defense &lt;/li&gt;
  &lt;/ul&gt;
  &lt;br&gt;</v>
      </c>
    </row>
    <row r="53" spans="1:33">
      <c r="A53" t="s">
        <v>124</v>
      </c>
      <c r="B53" s="3" t="s">
        <v>19</v>
      </c>
      <c r="C53" s="3">
        <f>IFERROR(INDEX(actual!A:A,MATCH(A53,actual!B:B,FALSE)), "")</f>
        <v>36</v>
      </c>
      <c r="D53" s="3" t="str">
        <f>IFERROR(INDEX(actual!C:C,MATCH(A53,actual!B:B,FALSE)), "")</f>
        <v>DAL</v>
      </c>
      <c r="E53" s="3" t="s">
        <v>221</v>
      </c>
      <c r="F53" s="3" t="s">
        <v>45</v>
      </c>
      <c r="G53" s="4">
        <f t="shared" si="9"/>
        <v>22.770027377693133</v>
      </c>
      <c r="H53" s="3">
        <f t="shared" si="10"/>
        <v>79</v>
      </c>
      <c r="I53" s="3">
        <f t="shared" si="11"/>
        <v>216</v>
      </c>
      <c r="J53" s="3">
        <f t="shared" si="12"/>
        <v>85</v>
      </c>
      <c r="K53" s="3" t="str">
        <f t="shared" si="13"/>
        <v/>
      </c>
      <c r="L53" s="3" t="str">
        <f t="shared" si="16"/>
        <v>+6</v>
      </c>
      <c r="M53" s="4">
        <f t="shared" si="14"/>
        <v>1.3157894736842106</v>
      </c>
      <c r="N53" s="3" t="s">
        <v>0</v>
      </c>
      <c r="O53" s="3" t="s">
        <v>357</v>
      </c>
      <c r="P53" s="3" t="s">
        <v>358</v>
      </c>
      <c r="Q53" s="3" t="s">
        <v>26</v>
      </c>
      <c r="R53" s="12">
        <v>40</v>
      </c>
      <c r="S53" s="3">
        <v>52</v>
      </c>
      <c r="T53" s="3">
        <f>IF(R53=R52,T52, MAX(T$1:T52)+1)</f>
        <v>8</v>
      </c>
      <c r="U53" s="5" t="s">
        <v>219</v>
      </c>
      <c r="V53" s="5" t="s">
        <v>220</v>
      </c>
      <c r="W53" s="6">
        <v>35836</v>
      </c>
      <c r="X53" s="2">
        <v>5</v>
      </c>
      <c r="Y53" s="2">
        <v>36</v>
      </c>
      <c r="AA53" s="2">
        <v>54</v>
      </c>
      <c r="AB53" s="2">
        <v>28</v>
      </c>
      <c r="AC53" s="2" t="str">
        <f>IFERROR(INDEX('ringer measureables'!$A:$J,MATCH($A53,'ringer measureables'!$A:$A,FALSE),7), "")</f>
        <v>6'7</v>
      </c>
      <c r="AD53" s="2">
        <f>IFERROR(INDEX('ringer measureables'!$A:$J,MATCH($A53,'ringer measureables'!$A:$A,FALSE),9), "")</f>
        <v>216</v>
      </c>
      <c r="AE53" s="2" t="str">
        <f>IFERROR(INDEX('ringer measureables'!$A:$J,MATCH($A53,'ringer measureables'!$A:$A,FALSE),10), "")</f>
        <v>7'1</v>
      </c>
      <c r="AF53" s="2">
        <f>IFERROR(INDEX('ringer measureables'!$A:$J,MATCH($A53,'ringer measureables'!$A:$A,FALSE),8), "")</f>
        <v>0</v>
      </c>
      <c r="AG53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
  &lt;/ol&gt;
  &lt;h2&gt; Tier 7 (~40+ FV)&lt;/h2&gt;
  &lt;ol start='43 '&gt;
    &lt;li&gt;&lt;b&gt;&lt;a 
    target='_blank' 
    href='https://www.nba.com/draft/2020/prospects/skylar-mays#/'&gt;Skylar Mays&lt;/a&gt;&lt;/b&gt; - &lt;i&gt;SG -
    &lt;a target='_blank'
    href='https://www.sports-reference.com/cbb/players/skylar-mays-1.html'&gt;LSU&lt;/a&gt;&lt;/b&gt; &lt;/i&gt;&lt;/li&gt;
  &lt;ul style='list-style-type:none'&gt;
    &lt;li&gt;Grade: Senior &lt;/li&gt;
    &lt;li&gt;Age: 23.2 &lt;/li&gt;
    &lt;li&gt;Height: 76 in &lt;/li&gt;
    &lt;li&gt;Weight: 205 lbs &lt;/li&gt;
    &lt;li&gt;Wingspan: 79 in &lt;/li&gt;
    &lt;li&gt;Ape: +3 &lt;/li&gt;
    &lt;li&gt;+: shooting, off-ball defense &lt;/li&gt;
    &lt;li&gt;-: age &lt;/li&gt;
  &lt;/ul&gt;
  &lt;br&gt;  &lt;li&gt;&lt;b&gt;&lt;a 
    target='_blank' 
    href='https://www.nba.com/draft/2020/prospects/payton-pritchard#/'&gt;Payton Pritchard&lt;/a&gt;&lt;/b&gt; - &lt;i&gt;PG -
    &lt;a target='_blank'
    href='https://www.sports-reference.com/cbb/players/payton-pritchard-1.html'&gt;Oregon&lt;/a&gt;&lt;/b&gt; &lt;/i&gt;&lt;/li&gt;
  &lt;ul style='list-style-type:none'&gt;
    &lt;li&gt;Grade: Senior &lt;/li&gt;
    &lt;li&gt;Age: 22.8 &lt;/li&gt;
    &lt;li&gt;Height: 74 in &lt;/li&gt;
    &lt;li&gt;Weight: 190 lbs &lt;/li&gt;
    &lt;li&gt;Wingspan: 76 in &lt;/li&gt;
    &lt;li&gt;Ape: +2 &lt;/li&gt;
    &lt;li&gt;+: floor general, shooting &lt;/li&gt;
    &lt;li&gt;-: size, athleticism, shot selection &lt;/li&gt;
  &lt;/ul&gt;
  &lt;br&gt;  &lt;li&gt;&lt;b&gt;&lt;a 
    target='_blank' 
    href='https://www.nba.com/draft/2020/prospects/jordan-nwora#/'&gt;Jordan Nwora&lt;/a&gt;&lt;/b&gt; - &lt;i&gt;SF -
    &lt;a target='_blank'
    href='https://www.sports-reference.com/cbb/players/jordan-nwora-1.html'&gt;Louisville&lt;/a&gt;&lt;/b&gt; &lt;/i&gt;&lt;/li&gt;
  &lt;ul style='list-style-type:none'&gt;
    &lt;li&gt;Grade: Junior &lt;/li&gt;
    &lt;li&gt;Age: 22.2 &lt;/li&gt;
    &lt;li&gt;Height: 80 in &lt;/li&gt;
    &lt;li&gt;Weight: 225 lbs &lt;/li&gt;
    &lt;li&gt;Wingspan: 82.5 in &lt;/li&gt;
    &lt;li&gt;Ape: +2.5 &lt;/li&gt;
    &lt;li&gt;+: shooting &lt;/li&gt;
    &lt;li&gt;-: age, playmaking, defense &lt;/li&gt;
  &lt;/ul&gt;
  &lt;br&gt;  &lt;li&gt;&lt;b&gt;&lt;a 
    target='_blank' 
    href='https://www.nba.com/draft/2020/prospects/yam-madar#/'&gt;Yam Madar&lt;/a&gt;&lt;/b&gt; - &lt;i&gt;PG -
    &lt;a target='_blank'
    href='https://www.basketball-reference.com/international/players/yam-madar-1.html'&gt;Hapoel Tel Aviv (Israel)&lt;/a&gt;&lt;/b&gt; &lt;/i&gt;&lt;/li&gt;
  &lt;ul style='list-style-type:none'&gt;
    &lt;li&gt;Age: 19.9 &lt;/li&gt;
    &lt;li&gt;Height: 75 in &lt;/li&gt;
    &lt;li&gt;Weight: 180 lbs &lt;/li&gt;
    &lt;li&gt;+: playmaking, basketball IQ &lt;/li&gt;
    &lt;li&gt;-: size, shooting &lt;/li&gt;
  &lt;/ul&gt;
  &lt;br&gt;  &lt;li&gt;&lt;b&gt;&lt;a 
    target='_blank' 
    href='https://www.nba.com/draft/2020/prospects/udoka-azubuike#/'&gt;Udoka Azubuike&lt;/a&gt;&lt;/b&gt; - &lt;i&gt;C -
    &lt;a target='_blank'
    href='https://www.sports-reference.com/cbb/players/udoka-azubuike-1.html'&gt;Kansas&lt;/a&gt;&lt;/b&gt; &lt;/i&gt;&lt;/li&gt;
  &lt;ul style='list-style-type:none'&gt;
    &lt;li&gt;Grade: Senior &lt;/li&gt;
    &lt;li&gt;Age: 21.2 &lt;/li&gt;
    &lt;li&gt;Height: 84 in &lt;/li&gt;
    &lt;li&gt;Weight: 270 lbs &lt;/li&gt;
    &lt;li&gt;Wingspan: 91 in &lt;/li&gt;
    &lt;li&gt;Ape: +7 &lt;/li&gt;
    &lt;li&gt;++: age, wingspan, frame &lt;/li&gt;
    &lt;li&gt;+: interior defense, athleticism &lt;/li&gt;
    &lt;li&gt;-: offense, defensive versatility &lt;/li&gt;
  &lt;/ul&gt;
  &lt;br&gt;
  &lt;/ol&gt;
  &lt;h2&gt; Tier 8 (~40 FV)&lt;/h2&gt;
  &lt;ol start='48 '&gt;
    &lt;li&gt;&lt;b&gt;&lt;a 
    target='_blank' 
    href='https://www.nba.com/draft/2020/prospects/elijah-hughes#/'&gt;Elijah Hughes&lt;/a&gt;&lt;/b&gt; - &lt;i&gt;SG -
    &lt;a target='_blank'
    href='https://www.sports-reference.com/cbb/players/elijah-hughes-1.html'&gt;Syracuse&lt;/a&gt;&lt;/b&gt; &lt;/i&gt;&lt;/li&gt;
  &lt;ul style='list-style-type:none'&gt;
    &lt;li&gt;Grade: Junior &lt;/li&gt;
    &lt;li&gt;Age: 22.7 &lt;/li&gt;
    &lt;li&gt;Height: 78 in &lt;/li&gt;
    &lt;li&gt;Weight: 215 lbs &lt;/li&gt;
    &lt;li&gt;+: scoring &lt;/li&gt;
    &lt;li&gt;-: athleticism, role &lt;/li&gt;
  &lt;/ul&gt;
  &lt;br&gt;  &lt;li&gt;&lt;b&gt;&lt;a 
    target='_blank' 
    href='https://www.nba.com/draft/2020/prospects/daniel-oturu#/'&gt;Daniel Oturu&lt;/a&gt;&lt;/b&gt; - &lt;i&gt;PF -
    &lt;a target='_blank'
    href='https://www.sports-reference.com/cbb/players/daniel-oturu-1.html'&gt;Minnesota&lt;/a&gt;&lt;/b&gt; &lt;/i&gt;&lt;/li&gt;
  &lt;ul style='list-style-type:none'&gt;
    &lt;li&gt;Grade: Sophomore &lt;/li&gt;
    &lt;li&gt;Age: 21.2 &lt;/li&gt;
    &lt;li&gt;Height: 82 in &lt;/li&gt;
    &lt;li&gt;Weight: 240 lbs &lt;/li&gt;
    &lt;li&gt;Wingspan: 86 in &lt;/li&gt;
    &lt;li&gt;Ape: +4 &lt;/li&gt;
    &lt;li&gt;+: interior offense, interior defense &lt;/li&gt;
    &lt;li&gt;-: age, role &lt;/li&gt;
  &lt;/ul&gt;
  &lt;br&gt;  &lt;li&gt;&lt;b&gt;&lt;a 
    target='_blank' 
    href='https://www.nba.com/draft/2020/prospects/cassius-stanley#/'&gt;Cassius Stanley&lt;/a&gt;&lt;/b&gt; - &lt;i&gt;SG -
    &lt;a target='_blank'
    href='https://www.sports-reference.com/cbb/players/cassius-stanley-1.html'&gt;Duke&lt;/a&gt;&lt;/b&gt; &lt;/i&gt;&lt;/li&gt;
  &lt;ul style='list-style-type:none'&gt;
    &lt;li&gt;Grade: Freshman &lt;/li&gt;
    &lt;li&gt;Age: 21.3 &lt;/li&gt;
    &lt;li&gt;Height: 78 in &lt;/li&gt;
    &lt;li&gt;Weight: 193 lbs &lt;/li&gt;
    &lt;li&gt;Wingspan: 79 in &lt;/li&gt;
    &lt;li&gt;Ape: +1 &lt;/li&gt;
    &lt;li&gt;++: athleticism &lt;/li&gt;
    &lt;li&gt;-: wingspan, decision making &lt;/li&gt;
    &lt;li&gt;--: age &lt;/li&gt;
  &lt;/ul&gt;
  &lt;br&gt;  &lt;li&gt;&lt;b&gt;&lt;a 
    target='_blank' 
    href='https://www.nba.com/draft/2020/prospects/jalen-harris#/'&gt;Jalen Harris&lt;/a&gt;&lt;/b&gt; - &lt;i&gt;SG -
    &lt;a target='_blank'
    href='https://www.sports-reference.com/cbb/players/jalen-harris-2.html'&gt;Nevada&lt;/a&gt;&lt;/b&gt; &lt;/i&gt;&lt;/li&gt;
  &lt;ul style='list-style-type:none'&gt;
    &lt;li&gt;Grade: Junior &lt;/li&gt;
    &lt;li&gt;Age: 22.3 &lt;/li&gt;
    &lt;li&gt;Height: 77 in &lt;/li&gt;
    &lt;li&gt;Weight: 195 lbs &lt;/li&gt;
    &lt;li&gt;+: shooting &lt;/li&gt;
    &lt;li&gt;-: age, defense &lt;/li&gt;
  &lt;/ul&gt;
  &lt;br&gt;  &lt;li&gt;&lt;b&gt;&lt;a 
    target='_blank' 
    href='https://www.nba.com/draft/2020/prospects/tyler-bey#/'&gt;Tyler Bey&lt;/a&gt;&lt;/b&gt; - &lt;i&gt;PF -
    &lt;a target='_blank'
    href='https://www.sports-reference.com/cbb/players/tyler-bey-1.html'&gt;Colorado&lt;/a&gt;&lt;/b&gt; &lt;/i&gt;&lt;/li&gt;
  &lt;ul style='list-style-type:none'&gt;
    &lt;li&gt;Grade: Junior &lt;/li&gt;
    &lt;li&gt;Age: 22.8 &lt;/li&gt;
    &lt;li&gt;Height: 79 in &lt;/li&gt;
    &lt;li&gt;Weight: 216 lbs &lt;/li&gt;
    &lt;li&gt;Wingspan: 85 in &lt;/li&gt;
    &lt;li&gt;Ape: +6 &lt;/li&gt;
    &lt;li&gt;++: wingspan &lt;/li&gt;
    &lt;li&gt;+: defense &lt;/li&gt;
    &lt;li&gt;-: interior offense &lt;/li&gt;
    &lt;li&gt;--: age &lt;/li&gt;
  &lt;/ul&gt;
  &lt;br&gt;</v>
      </c>
    </row>
    <row r="54" spans="1:33">
      <c r="A54" s="3" t="s">
        <v>390</v>
      </c>
      <c r="B54" s="3" t="s">
        <v>22</v>
      </c>
      <c r="C54" s="3" t="str">
        <f>IFERROR(INDEX(actual!A:A,MATCH(A54,actual!B:B,FALSE)), "")</f>
        <v/>
      </c>
      <c r="D54" s="3" t="str">
        <f>IFERROR(INDEX(actual!C:C,MATCH(A54,actual!B:B,FALSE)), "")</f>
        <v/>
      </c>
      <c r="E54" s="3" t="s">
        <v>392</v>
      </c>
      <c r="F54" s="3" t="s">
        <v>46</v>
      </c>
      <c r="G54" s="4">
        <f t="shared" si="9"/>
        <v>23.728952772073921</v>
      </c>
      <c r="H54" s="3">
        <f t="shared" si="10"/>
        <v>78</v>
      </c>
      <c r="I54" s="3">
        <f t="shared" si="11"/>
        <v>190</v>
      </c>
      <c r="J54" s="3">
        <f t="shared" si="12"/>
        <v>80</v>
      </c>
      <c r="K54" s="3" t="str">
        <f t="shared" si="13"/>
        <v/>
      </c>
      <c r="L54" s="3" t="str">
        <f t="shared" si="16"/>
        <v>+2</v>
      </c>
      <c r="M54" s="4">
        <f t="shared" si="14"/>
        <v>1.1111111111111112</v>
      </c>
      <c r="O54" s="3" t="s">
        <v>338</v>
      </c>
      <c r="P54" s="3" t="s">
        <v>394</v>
      </c>
      <c r="R54" s="12">
        <v>40</v>
      </c>
      <c r="S54" s="3">
        <v>53</v>
      </c>
      <c r="T54" s="3">
        <f>IF(R54=R53,T53, MAX(T$1:T53)+1)</f>
        <v>8</v>
      </c>
      <c r="U54" s="13" t="s">
        <v>391</v>
      </c>
      <c r="V54" s="5" t="s">
        <v>393</v>
      </c>
      <c r="W54" s="6">
        <v>35486</v>
      </c>
      <c r="X54" s="2">
        <v>6</v>
      </c>
      <c r="AC54" s="2" t="str">
        <f>IFERROR(INDEX('ringer measureables'!$A:$J,MATCH($A54,'ringer measureables'!$A:$A,FALSE),7), "")</f>
        <v>6'6</v>
      </c>
      <c r="AD54" s="2">
        <f>IFERROR(INDEX('ringer measureables'!$A:$J,MATCH($A54,'ringer measureables'!$A:$A,FALSE),9), "")</f>
        <v>190</v>
      </c>
      <c r="AE54" s="2" t="str">
        <f>IFERROR(INDEX('ringer measureables'!$A:$J,MATCH($A54,'ringer measureables'!$A:$A,FALSE),10), "")</f>
        <v>6'8</v>
      </c>
      <c r="AF54" s="2">
        <f>IFERROR(INDEX('ringer measureables'!$A:$J,MATCH($A54,'ringer measureables'!$A:$A,FALSE),8), "")</f>
        <v>0</v>
      </c>
      <c r="AG54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
  &lt;/ol&gt;
  &lt;h2&gt; Tier 7 (~40+ FV)&lt;/h2&gt;
  &lt;ol start='43 '&gt;
    &lt;li&gt;&lt;b&gt;&lt;a 
    target='_blank' 
    href='https://www.nba.com/draft/2020/prospects/skylar-mays#/'&gt;Skylar Mays&lt;/a&gt;&lt;/b&gt; - &lt;i&gt;SG -
    &lt;a target='_blank'
    href='https://www.sports-reference.com/cbb/players/skylar-mays-1.html'&gt;LSU&lt;/a&gt;&lt;/b&gt; &lt;/i&gt;&lt;/li&gt;
  &lt;ul style='list-style-type:none'&gt;
    &lt;li&gt;Grade: Senior &lt;/li&gt;
    &lt;li&gt;Age: 23.2 &lt;/li&gt;
    &lt;li&gt;Height: 76 in &lt;/li&gt;
    &lt;li&gt;Weight: 205 lbs &lt;/li&gt;
    &lt;li&gt;Wingspan: 79 in &lt;/li&gt;
    &lt;li&gt;Ape: +3 &lt;/li&gt;
    &lt;li&gt;+: shooting, off-ball defense &lt;/li&gt;
    &lt;li&gt;-: age &lt;/li&gt;
  &lt;/ul&gt;
  &lt;br&gt;  &lt;li&gt;&lt;b&gt;&lt;a 
    target='_blank' 
    href='https://www.nba.com/draft/2020/prospects/payton-pritchard#/'&gt;Payton Pritchard&lt;/a&gt;&lt;/b&gt; - &lt;i&gt;PG -
    &lt;a target='_blank'
    href='https://www.sports-reference.com/cbb/players/payton-pritchard-1.html'&gt;Oregon&lt;/a&gt;&lt;/b&gt; &lt;/i&gt;&lt;/li&gt;
  &lt;ul style='list-style-type:none'&gt;
    &lt;li&gt;Grade: Senior &lt;/li&gt;
    &lt;li&gt;Age: 22.8 &lt;/li&gt;
    &lt;li&gt;Height: 74 in &lt;/li&gt;
    &lt;li&gt;Weight: 190 lbs &lt;/li&gt;
    &lt;li&gt;Wingspan: 76 in &lt;/li&gt;
    &lt;li&gt;Ape: +2 &lt;/li&gt;
    &lt;li&gt;+: floor general, shooting &lt;/li&gt;
    &lt;li&gt;-: size, athleticism, shot selection &lt;/li&gt;
  &lt;/ul&gt;
  &lt;br&gt;  &lt;li&gt;&lt;b&gt;&lt;a 
    target='_blank' 
    href='https://www.nba.com/draft/2020/prospects/jordan-nwora#/'&gt;Jordan Nwora&lt;/a&gt;&lt;/b&gt; - &lt;i&gt;SF -
    &lt;a target='_blank'
    href='https://www.sports-reference.com/cbb/players/jordan-nwora-1.html'&gt;Louisville&lt;/a&gt;&lt;/b&gt; &lt;/i&gt;&lt;/li&gt;
  &lt;ul style='list-style-type:none'&gt;
    &lt;li&gt;Grade: Junior &lt;/li&gt;
    &lt;li&gt;Age: 22.2 &lt;/li&gt;
    &lt;li&gt;Height: 80 in &lt;/li&gt;
    &lt;li&gt;Weight: 225 lbs &lt;/li&gt;
    &lt;li&gt;Wingspan: 82.5 in &lt;/li&gt;
    &lt;li&gt;Ape: +2.5 &lt;/li&gt;
    &lt;li&gt;+: shooting &lt;/li&gt;
    &lt;li&gt;-: age, playmaking, defense &lt;/li&gt;
  &lt;/ul&gt;
  &lt;br&gt;  &lt;li&gt;&lt;b&gt;&lt;a 
    target='_blank' 
    href='https://www.nba.com/draft/2020/prospects/yam-madar#/'&gt;Yam Madar&lt;/a&gt;&lt;/b&gt; - &lt;i&gt;PG -
    &lt;a target='_blank'
    href='https://www.basketball-reference.com/international/players/yam-madar-1.html'&gt;Hapoel Tel Aviv (Israel)&lt;/a&gt;&lt;/b&gt; &lt;/i&gt;&lt;/li&gt;
  &lt;ul style='list-style-type:none'&gt;
    &lt;li&gt;Age: 19.9 &lt;/li&gt;
    &lt;li&gt;Height: 75 in &lt;/li&gt;
    &lt;li&gt;Weight: 180 lbs &lt;/li&gt;
    &lt;li&gt;+: playmaking, basketball IQ &lt;/li&gt;
    &lt;li&gt;-: size, shooting &lt;/li&gt;
  &lt;/ul&gt;
  &lt;br&gt;  &lt;li&gt;&lt;b&gt;&lt;a 
    target='_blank' 
    href='https://www.nba.com/draft/2020/prospects/udoka-azubuike#/'&gt;Udoka Azubuike&lt;/a&gt;&lt;/b&gt; - &lt;i&gt;C -
    &lt;a target='_blank'
    href='https://www.sports-reference.com/cbb/players/udoka-azubuike-1.html'&gt;Kansas&lt;/a&gt;&lt;/b&gt; &lt;/i&gt;&lt;/li&gt;
  &lt;ul style='list-style-type:none'&gt;
    &lt;li&gt;Grade: Senior &lt;/li&gt;
    &lt;li&gt;Age: 21.2 &lt;/li&gt;
    &lt;li&gt;Height: 84 in &lt;/li&gt;
    &lt;li&gt;Weight: 270 lbs &lt;/li&gt;
    &lt;li&gt;Wingspan: 91 in &lt;/li&gt;
    &lt;li&gt;Ape: +7 &lt;/li&gt;
    &lt;li&gt;++: age, wingspan, frame &lt;/li&gt;
    &lt;li&gt;+: interior defense, athleticism &lt;/li&gt;
    &lt;li&gt;-: offense, defensive versatility &lt;/li&gt;
  &lt;/ul&gt;
  &lt;br&gt;
  &lt;/ol&gt;
  &lt;h2&gt; Tier 8 (~40 FV)&lt;/h2&gt;
  &lt;ol start='48 '&gt;
    &lt;li&gt;&lt;b&gt;&lt;a 
    target='_blank' 
    href='https://www.nba.com/draft/2020/prospects/elijah-hughes#/'&gt;Elijah Hughes&lt;/a&gt;&lt;/b&gt; - &lt;i&gt;SG -
    &lt;a target='_blank'
    href='https://www.sports-reference.com/cbb/players/elijah-hughes-1.html'&gt;Syracuse&lt;/a&gt;&lt;/b&gt; &lt;/i&gt;&lt;/li&gt;
  &lt;ul style='list-style-type:none'&gt;
    &lt;li&gt;Grade: Junior &lt;/li&gt;
    &lt;li&gt;Age: 22.7 &lt;/li&gt;
    &lt;li&gt;Height: 78 in &lt;/li&gt;
    &lt;li&gt;Weight: 215 lbs &lt;/li&gt;
    &lt;li&gt;+: scoring &lt;/li&gt;
    &lt;li&gt;-: athleticism, role &lt;/li&gt;
  &lt;/ul&gt;
  &lt;br&gt;  &lt;li&gt;&lt;b&gt;&lt;a 
    target='_blank' 
    href='https://www.nba.com/draft/2020/prospects/daniel-oturu#/'&gt;Daniel Oturu&lt;/a&gt;&lt;/b&gt; - &lt;i&gt;PF -
    &lt;a target='_blank'
    href='https://www.sports-reference.com/cbb/players/daniel-oturu-1.html'&gt;Minnesota&lt;/a&gt;&lt;/b&gt; &lt;/i&gt;&lt;/li&gt;
  &lt;ul style='list-style-type:none'&gt;
    &lt;li&gt;Grade: Sophomore &lt;/li&gt;
    &lt;li&gt;Age: 21.2 &lt;/li&gt;
    &lt;li&gt;Height: 82 in &lt;/li&gt;
    &lt;li&gt;Weight: 240 lbs &lt;/li&gt;
    &lt;li&gt;Wingspan: 86 in &lt;/li&gt;
    &lt;li&gt;Ape: +4 &lt;/li&gt;
    &lt;li&gt;+: interior offense, interior defense &lt;/li&gt;
    &lt;li&gt;-: age, role &lt;/li&gt;
  &lt;/ul&gt;
  &lt;br&gt;  &lt;li&gt;&lt;b&gt;&lt;a 
    target='_blank' 
    href='https://www.nba.com/draft/2020/prospects/cassius-stanley#/'&gt;Cassius Stanley&lt;/a&gt;&lt;/b&gt; - &lt;i&gt;SG -
    &lt;a target='_blank'
    href='https://www.sports-reference.com/cbb/players/cassius-stanley-1.html'&gt;Duke&lt;/a&gt;&lt;/b&gt; &lt;/i&gt;&lt;/li&gt;
  &lt;ul style='list-style-type:none'&gt;
    &lt;li&gt;Grade: Freshman &lt;/li&gt;
    &lt;li&gt;Age: 21.3 &lt;/li&gt;
    &lt;li&gt;Height: 78 in &lt;/li&gt;
    &lt;li&gt;Weight: 193 lbs &lt;/li&gt;
    &lt;li&gt;Wingspan: 79 in &lt;/li&gt;
    &lt;li&gt;Ape: +1 &lt;/li&gt;
    &lt;li&gt;++: athleticism &lt;/li&gt;
    &lt;li&gt;-: wingspan, decision making &lt;/li&gt;
    &lt;li&gt;--: age &lt;/li&gt;
  &lt;/ul&gt;
  &lt;br&gt;  &lt;li&gt;&lt;b&gt;&lt;a 
    target='_blank' 
    href='https://www.nba.com/draft/2020/prospects/jalen-harris#/'&gt;Jalen Harris&lt;/a&gt;&lt;/b&gt; - &lt;i&gt;SG -
    &lt;a target='_blank'
    href='https://www.sports-reference.com/cbb/players/jalen-harris-2.html'&gt;Nevada&lt;/a&gt;&lt;/b&gt; &lt;/i&gt;&lt;/li&gt;
  &lt;ul style='list-style-type:none'&gt;
    &lt;li&gt;Grade: Junior &lt;/li&gt;
    &lt;li&gt;Age: 22.3 &lt;/li&gt;
    &lt;li&gt;Height: 77 in &lt;/li&gt;
    &lt;li&gt;Weight: 195 lbs &lt;/li&gt;
    &lt;li&gt;+: shooting &lt;/li&gt;
    &lt;li&gt;-: age, defense &lt;/li&gt;
  &lt;/ul&gt;
  &lt;br&gt;  &lt;li&gt;&lt;b&gt;&lt;a 
    target='_blank' 
    href='https://www.nba.com/draft/2020/prospects/tyler-bey#/'&gt;Tyler Bey&lt;/a&gt;&lt;/b&gt; - &lt;i&gt;PF -
    &lt;a target='_blank'
    href='https://www.sports-reference.com/cbb/players/tyler-bey-1.html'&gt;Colorado&lt;/a&gt;&lt;/b&gt; &lt;/i&gt;&lt;/li&gt;
  &lt;ul style='list-style-type:none'&gt;
    &lt;li&gt;Grade: Junior &lt;/li&gt;
    &lt;li&gt;Age: 22.8 &lt;/li&gt;
    &lt;li&gt;Height: 79 in &lt;/li&gt;
    &lt;li&gt;Weight: 216 lbs &lt;/li&gt;
    &lt;li&gt;Wingspan: 85 in &lt;/li&gt;
    &lt;li&gt;Ape: +6 &lt;/li&gt;
    &lt;li&gt;++: wingspan &lt;/li&gt;
    &lt;li&gt;+: defense &lt;/li&gt;
    &lt;li&gt;-: interior offense &lt;/li&gt;
    &lt;li&gt;--: age &lt;/li&gt;
  &lt;/ul&gt;
  &lt;br&gt;  &lt;li&gt;&lt;b&gt;&lt;a 
    target='_blank' 
    href='https://www.nba.com/draft/2020/prospects/trevelin-queen#/'&gt;Trevelin Queen&lt;/a&gt;&lt;/b&gt; - &lt;i&gt;SG -
    &lt;a target='_blank'
    href='https://www.sports-reference.com/cbb/players/trevelin-queen-1.html'&gt;New Mexico State&lt;/a&gt;&lt;/b&gt; &lt;/i&gt;&lt;/li&gt;
  &lt;ul style='list-style-type:none'&gt;
    &lt;li&gt;Grade: Senior &lt;/li&gt;
    &lt;li&gt;Age: 23.7 &lt;/li&gt;
    &lt;li&gt;Height: 78 in &lt;/li&gt;
    &lt;li&gt;Weight: 190 lbs &lt;/li&gt;
    &lt;li&gt;Wingspan: 80 in &lt;/li&gt;
    &lt;li&gt;Ape: +2 &lt;/li&gt;
    &lt;li&gt;+: shooting, defense &lt;/li&gt;
    &lt;li&gt;-: playmaking, shot creation, age &lt;/li&gt;
  &lt;/ul&gt;
  &lt;br&gt;</v>
      </c>
    </row>
    <row r="55" spans="1:33">
      <c r="A55" t="s">
        <v>207</v>
      </c>
      <c r="B55" s="3" t="s">
        <v>22</v>
      </c>
      <c r="C55" s="3" t="str">
        <f>IFERROR(INDEX(actual!A:A,MATCH(A55,actual!B:B,FALSE)), "")</f>
        <v/>
      </c>
      <c r="D55" s="3" t="str">
        <f>IFERROR(INDEX(actual!C:C,MATCH(A55,actual!B:B,FALSE)), "")</f>
        <v/>
      </c>
      <c r="E55" s="3" t="s">
        <v>210</v>
      </c>
      <c r="F55" s="3" t="s">
        <v>45</v>
      </c>
      <c r="G55" s="4">
        <f t="shared" si="9"/>
        <v>22.342935364837519</v>
      </c>
      <c r="H55" s="3">
        <f t="shared" si="10"/>
        <v>76</v>
      </c>
      <c r="I55" s="3">
        <f t="shared" si="11"/>
        <v>195</v>
      </c>
      <c r="J55" s="3" t="str">
        <f t="shared" si="12"/>
        <v/>
      </c>
      <c r="K55" s="3" t="str">
        <f t="shared" si="13"/>
        <v/>
      </c>
      <c r="L55" s="3" t="str">
        <f t="shared" si="16"/>
        <v/>
      </c>
      <c r="M55" s="4" t="str">
        <f t="shared" si="14"/>
        <v/>
      </c>
      <c r="O55" s="3" t="s">
        <v>338</v>
      </c>
      <c r="P55" s="3" t="s">
        <v>349</v>
      </c>
      <c r="R55" s="12">
        <v>40</v>
      </c>
      <c r="S55" s="3">
        <v>54</v>
      </c>
      <c r="T55" s="3">
        <f>IF(R55=R54,T54, MAX(T$1:T54)+1)</f>
        <v>8</v>
      </c>
      <c r="U55" s="5" t="s">
        <v>208</v>
      </c>
      <c r="V55" s="5" t="s">
        <v>209</v>
      </c>
      <c r="W55" s="6">
        <v>35992</v>
      </c>
      <c r="X55" s="2">
        <v>6</v>
      </c>
      <c r="Y55" s="2">
        <v>32</v>
      </c>
      <c r="AA55" s="2">
        <v>56</v>
      </c>
      <c r="AB55" s="2">
        <v>63</v>
      </c>
      <c r="AC55" s="2" t="str">
        <f>IFERROR(INDEX('ringer measureables'!$A:$J,MATCH($A55,'ringer measureables'!$A:$A,FALSE),7), "")</f>
        <v>6'4</v>
      </c>
      <c r="AD55" s="2">
        <f>IFERROR(INDEX('ringer measureables'!$A:$J,MATCH($A55,'ringer measureables'!$A:$A,FALSE),9), "")</f>
        <v>195</v>
      </c>
      <c r="AE55" s="2">
        <f>IFERROR(INDEX('ringer measureables'!$A:$J,MATCH($A55,'ringer measureables'!$A:$A,FALSE),10), "")</f>
        <v>0</v>
      </c>
      <c r="AF55" s="2">
        <f>IFERROR(INDEX('ringer measureables'!$A:$J,MATCH($A55,'ringer measureables'!$A:$A,FALSE),8), "")</f>
        <v>0</v>
      </c>
      <c r="AG55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
  &lt;/ol&gt;
  &lt;h2&gt; Tier 7 (~40+ FV)&lt;/h2&gt;
  &lt;ol start='43 '&gt;
    &lt;li&gt;&lt;b&gt;&lt;a 
    target='_blank' 
    href='https://www.nba.com/draft/2020/prospects/skylar-mays#/'&gt;Skylar Mays&lt;/a&gt;&lt;/b&gt; - &lt;i&gt;SG -
    &lt;a target='_blank'
    href='https://www.sports-reference.com/cbb/players/skylar-mays-1.html'&gt;LSU&lt;/a&gt;&lt;/b&gt; &lt;/i&gt;&lt;/li&gt;
  &lt;ul style='list-style-type:none'&gt;
    &lt;li&gt;Grade: Senior &lt;/li&gt;
    &lt;li&gt;Age: 23.2 &lt;/li&gt;
    &lt;li&gt;Height: 76 in &lt;/li&gt;
    &lt;li&gt;Weight: 205 lbs &lt;/li&gt;
    &lt;li&gt;Wingspan: 79 in &lt;/li&gt;
    &lt;li&gt;Ape: +3 &lt;/li&gt;
    &lt;li&gt;+: shooting, off-ball defense &lt;/li&gt;
    &lt;li&gt;-: age &lt;/li&gt;
  &lt;/ul&gt;
  &lt;br&gt;  &lt;li&gt;&lt;b&gt;&lt;a 
    target='_blank' 
    href='https://www.nba.com/draft/2020/prospects/payton-pritchard#/'&gt;Payton Pritchard&lt;/a&gt;&lt;/b&gt; - &lt;i&gt;PG -
    &lt;a target='_blank'
    href='https://www.sports-reference.com/cbb/players/payton-pritchard-1.html'&gt;Oregon&lt;/a&gt;&lt;/b&gt; &lt;/i&gt;&lt;/li&gt;
  &lt;ul style='list-style-type:none'&gt;
    &lt;li&gt;Grade: Senior &lt;/li&gt;
    &lt;li&gt;Age: 22.8 &lt;/li&gt;
    &lt;li&gt;Height: 74 in &lt;/li&gt;
    &lt;li&gt;Weight: 190 lbs &lt;/li&gt;
    &lt;li&gt;Wingspan: 76 in &lt;/li&gt;
    &lt;li&gt;Ape: +2 &lt;/li&gt;
    &lt;li&gt;+: floor general, shooting &lt;/li&gt;
    &lt;li&gt;-: size, athleticism, shot selection &lt;/li&gt;
  &lt;/ul&gt;
  &lt;br&gt;  &lt;li&gt;&lt;b&gt;&lt;a 
    target='_blank' 
    href='https://www.nba.com/draft/2020/prospects/jordan-nwora#/'&gt;Jordan Nwora&lt;/a&gt;&lt;/b&gt; - &lt;i&gt;SF -
    &lt;a target='_blank'
    href='https://www.sports-reference.com/cbb/players/jordan-nwora-1.html'&gt;Louisville&lt;/a&gt;&lt;/b&gt; &lt;/i&gt;&lt;/li&gt;
  &lt;ul style='list-style-type:none'&gt;
    &lt;li&gt;Grade: Junior &lt;/li&gt;
    &lt;li&gt;Age: 22.2 &lt;/li&gt;
    &lt;li&gt;Height: 80 in &lt;/li&gt;
    &lt;li&gt;Weight: 225 lbs &lt;/li&gt;
    &lt;li&gt;Wingspan: 82.5 in &lt;/li&gt;
    &lt;li&gt;Ape: +2.5 &lt;/li&gt;
    &lt;li&gt;+: shooting &lt;/li&gt;
    &lt;li&gt;-: age, playmaking, defense &lt;/li&gt;
  &lt;/ul&gt;
  &lt;br&gt;  &lt;li&gt;&lt;b&gt;&lt;a 
    target='_blank' 
    href='https://www.nba.com/draft/2020/prospects/yam-madar#/'&gt;Yam Madar&lt;/a&gt;&lt;/b&gt; - &lt;i&gt;PG -
    &lt;a target='_blank'
    href='https://www.basketball-reference.com/international/players/yam-madar-1.html'&gt;Hapoel Tel Aviv (Israel)&lt;/a&gt;&lt;/b&gt; &lt;/i&gt;&lt;/li&gt;
  &lt;ul style='list-style-type:none'&gt;
    &lt;li&gt;Age: 19.9 &lt;/li&gt;
    &lt;li&gt;Height: 75 in &lt;/li&gt;
    &lt;li&gt;Weight: 180 lbs &lt;/li&gt;
    &lt;li&gt;+: playmaking, basketball IQ &lt;/li&gt;
    &lt;li&gt;-: size, shooting &lt;/li&gt;
  &lt;/ul&gt;
  &lt;br&gt;  &lt;li&gt;&lt;b&gt;&lt;a 
    target='_blank' 
    href='https://www.nba.com/draft/2020/prospects/udoka-azubuike#/'&gt;Udoka Azubuike&lt;/a&gt;&lt;/b&gt; - &lt;i&gt;C -
    &lt;a target='_blank'
    href='https://www.sports-reference.com/cbb/players/udoka-azubuike-1.html'&gt;Kansas&lt;/a&gt;&lt;/b&gt; &lt;/i&gt;&lt;/li&gt;
  &lt;ul style='list-style-type:none'&gt;
    &lt;li&gt;Grade: Senior &lt;/li&gt;
    &lt;li&gt;Age: 21.2 &lt;/li&gt;
    &lt;li&gt;Height: 84 in &lt;/li&gt;
    &lt;li&gt;Weight: 270 lbs &lt;/li&gt;
    &lt;li&gt;Wingspan: 91 in &lt;/li&gt;
    &lt;li&gt;Ape: +7 &lt;/li&gt;
    &lt;li&gt;++: age, wingspan, frame &lt;/li&gt;
    &lt;li&gt;+: interior defense, athleticism &lt;/li&gt;
    &lt;li&gt;-: offense, defensive versatility &lt;/li&gt;
  &lt;/ul&gt;
  &lt;br&gt;
  &lt;/ol&gt;
  &lt;h2&gt; Tier 8 (~40 FV)&lt;/h2&gt;
  &lt;ol start='48 '&gt;
    &lt;li&gt;&lt;b&gt;&lt;a 
    target='_blank' 
    href='https://www.nba.com/draft/2020/prospects/elijah-hughes#/'&gt;Elijah Hughes&lt;/a&gt;&lt;/b&gt; - &lt;i&gt;SG -
    &lt;a target='_blank'
    href='https://www.sports-reference.com/cbb/players/elijah-hughes-1.html'&gt;Syracuse&lt;/a&gt;&lt;/b&gt; &lt;/i&gt;&lt;/li&gt;
  &lt;ul style='list-style-type:none'&gt;
    &lt;li&gt;Grade: Junior &lt;/li&gt;
    &lt;li&gt;Age: 22.7 &lt;/li&gt;
    &lt;li&gt;Height: 78 in &lt;/li&gt;
    &lt;li&gt;Weight: 215 lbs &lt;/li&gt;
    &lt;li&gt;+: scoring &lt;/li&gt;
    &lt;li&gt;-: athleticism, role &lt;/li&gt;
  &lt;/ul&gt;
  &lt;br&gt;  &lt;li&gt;&lt;b&gt;&lt;a 
    target='_blank' 
    href='https://www.nba.com/draft/2020/prospects/daniel-oturu#/'&gt;Daniel Oturu&lt;/a&gt;&lt;/b&gt; - &lt;i&gt;PF -
    &lt;a target='_blank'
    href='https://www.sports-reference.com/cbb/players/daniel-oturu-1.html'&gt;Minnesota&lt;/a&gt;&lt;/b&gt; &lt;/i&gt;&lt;/li&gt;
  &lt;ul style='list-style-type:none'&gt;
    &lt;li&gt;Grade: Sophomore &lt;/li&gt;
    &lt;li&gt;Age: 21.2 &lt;/li&gt;
    &lt;li&gt;Height: 82 in &lt;/li&gt;
    &lt;li&gt;Weight: 240 lbs &lt;/li&gt;
    &lt;li&gt;Wingspan: 86 in &lt;/li&gt;
    &lt;li&gt;Ape: +4 &lt;/li&gt;
    &lt;li&gt;+: interior offense, interior defense &lt;/li&gt;
    &lt;li&gt;-: age, role &lt;/li&gt;
  &lt;/ul&gt;
  &lt;br&gt;  &lt;li&gt;&lt;b&gt;&lt;a 
    target='_blank' 
    href='https://www.nba.com/draft/2020/prospects/cassius-stanley#/'&gt;Cassius Stanley&lt;/a&gt;&lt;/b&gt; - &lt;i&gt;SG -
    &lt;a target='_blank'
    href='https://www.sports-reference.com/cbb/players/cassius-stanley-1.html'&gt;Duke&lt;/a&gt;&lt;/b&gt; &lt;/i&gt;&lt;/li&gt;
  &lt;ul style='list-style-type:none'&gt;
    &lt;li&gt;Grade: Freshman &lt;/li&gt;
    &lt;li&gt;Age: 21.3 &lt;/li&gt;
    &lt;li&gt;Height: 78 in &lt;/li&gt;
    &lt;li&gt;Weight: 193 lbs &lt;/li&gt;
    &lt;li&gt;Wingspan: 79 in &lt;/li&gt;
    &lt;li&gt;Ape: +1 &lt;/li&gt;
    &lt;li&gt;++: athleticism &lt;/li&gt;
    &lt;li&gt;-: wingspan, decision making &lt;/li&gt;
    &lt;li&gt;--: age &lt;/li&gt;
  &lt;/ul&gt;
  &lt;br&gt;  &lt;li&gt;&lt;b&gt;&lt;a 
    target='_blank' 
    href='https://www.nba.com/draft/2020/prospects/jalen-harris#/'&gt;Jalen Harris&lt;/a&gt;&lt;/b&gt; - &lt;i&gt;SG -
    &lt;a target='_blank'
    href='https://www.sports-reference.com/cbb/players/jalen-harris-2.html'&gt;Nevada&lt;/a&gt;&lt;/b&gt; &lt;/i&gt;&lt;/li&gt;
  &lt;ul style='list-style-type:none'&gt;
    &lt;li&gt;Grade: Junior &lt;/li&gt;
    &lt;li&gt;Age: 22.3 &lt;/li&gt;
    &lt;li&gt;Height: 77 in &lt;/li&gt;
    &lt;li&gt;Weight: 195 lbs &lt;/li&gt;
    &lt;li&gt;+: shooting &lt;/li&gt;
    &lt;li&gt;-: age, defense &lt;/li&gt;
  &lt;/ul&gt;
  &lt;br&gt;  &lt;li&gt;&lt;b&gt;&lt;a 
    target='_blank' 
    href='https://www.nba.com/draft/2020/prospects/tyler-bey#/'&gt;Tyler Bey&lt;/a&gt;&lt;/b&gt; - &lt;i&gt;PF -
    &lt;a target='_blank'
    href='https://www.sports-reference.com/cbb/players/tyler-bey-1.html'&gt;Colorado&lt;/a&gt;&lt;/b&gt; &lt;/i&gt;&lt;/li&gt;
  &lt;ul style='list-style-type:none'&gt;
    &lt;li&gt;Grade: Junior &lt;/li&gt;
    &lt;li&gt;Age: 22.8 &lt;/li&gt;
    &lt;li&gt;Height: 79 in &lt;/li&gt;
    &lt;li&gt;Weight: 216 lbs &lt;/li&gt;
    &lt;li&gt;Wingspan: 85 in &lt;/li&gt;
    &lt;li&gt;Ape: +6 &lt;/li&gt;
    &lt;li&gt;++: wingspan &lt;/li&gt;
    &lt;li&gt;+: defense &lt;/li&gt;
    &lt;li&gt;-: interior offense &lt;/li&gt;
    &lt;li&gt;--: age &lt;/li&gt;
  &lt;/ul&gt;
  &lt;br&gt;  &lt;li&gt;&lt;b&gt;&lt;a 
    target='_blank' 
    href='https://www.nba.com/draft/2020/prospects/trevelin-queen#/'&gt;Trevelin Queen&lt;/a&gt;&lt;/b&gt; - &lt;i&gt;SG -
    &lt;a target='_blank'
    href='https://www.sports-reference.com/cbb/players/trevelin-queen-1.html'&gt;New Mexico State&lt;/a&gt;&lt;/b&gt; &lt;/i&gt;&lt;/li&gt;
  &lt;ul style='list-style-type:none'&gt;
    &lt;li&gt;Grade: Senior &lt;/li&gt;
    &lt;li&gt;Age: 23.7 &lt;/li&gt;
    &lt;li&gt;Height: 78 in &lt;/li&gt;
    &lt;li&gt;Weight: 190 lbs &lt;/li&gt;
    &lt;li&gt;Wingspan: 80 in &lt;/li&gt;
    &lt;li&gt;Ape: +2 &lt;/li&gt;
    &lt;li&gt;+: shooting, defense &lt;/li&gt;
    &lt;li&gt;-: playmaking, shot creation, age &lt;/li&gt;
  &lt;/ul&gt;
  &lt;br&gt;  &lt;li&gt;&lt;b&gt;&lt;a 
    target='_blank' 
    href='https://www.nba.com/draft/2020/prospects/ty-shon-alexander#/'&gt;Ty-Shon Alexander&lt;/a&gt;&lt;/b&gt; - &lt;i&gt;SG -
    &lt;a target='_blank'
    href='https://www.sports-reference.com/cbb/players/ty-shon-alexander-1.html'&gt;Creighton&lt;/a&gt;&lt;/b&gt; &lt;/i&gt;&lt;/li&gt;
  &lt;ul style='list-style-type:none'&gt;
    &lt;li&gt;Grade: Junior &lt;/li&gt;
    &lt;li&gt;Age: 22.3 &lt;/li&gt;
    &lt;li&gt;Height: 76 in &lt;/li&gt;
    &lt;li&gt;Weight: 195 lbs &lt;/li&gt;
    &lt;li&gt;+: shooting, defense &lt;/li&gt;
    &lt;li&gt;-: age, frame &lt;/li&gt;
  &lt;/ul&gt;
  &lt;br&gt;</v>
      </c>
    </row>
    <row r="56" spans="1:33">
      <c r="A56" t="s">
        <v>135</v>
      </c>
      <c r="B56" s="3" t="s">
        <v>22</v>
      </c>
      <c r="C56" s="3">
        <f>IFERROR(INDEX(actual!A:A,MATCH(A56,actual!B:B,FALSE)), "")</f>
        <v>25</v>
      </c>
      <c r="D56" s="3" t="str">
        <f>IFERROR(INDEX(actual!C:C,MATCH(A56,actual!B:B,FALSE)), "")</f>
        <v>NYK</v>
      </c>
      <c r="E56" s="3" t="s">
        <v>31</v>
      </c>
      <c r="F56" s="3" t="s">
        <v>44</v>
      </c>
      <c r="G56" s="4">
        <f t="shared" si="9"/>
        <v>21.422349427575909</v>
      </c>
      <c r="H56" s="3">
        <f t="shared" si="10"/>
        <v>75</v>
      </c>
      <c r="I56" s="3">
        <f t="shared" si="11"/>
        <v>188</v>
      </c>
      <c r="J56" s="3">
        <f t="shared" si="12"/>
        <v>82</v>
      </c>
      <c r="K56" s="3" t="str">
        <f t="shared" si="13"/>
        <v/>
      </c>
      <c r="L56" s="3" t="str">
        <f t="shared" si="16"/>
        <v>+7</v>
      </c>
      <c r="M56" s="4">
        <f t="shared" si="14"/>
        <v>1.4666666666666666</v>
      </c>
      <c r="N56" s="3" t="s">
        <v>372</v>
      </c>
      <c r="O56" s="3" t="s">
        <v>357</v>
      </c>
      <c r="P56" s="3" t="s">
        <v>373</v>
      </c>
      <c r="R56" s="12">
        <v>40</v>
      </c>
      <c r="S56" s="3">
        <v>55</v>
      </c>
      <c r="T56" s="3">
        <f>IF(R56=R55,T55, MAX(T$1:T55)+1)</f>
        <v>8</v>
      </c>
      <c r="U56" s="5" t="s">
        <v>244</v>
      </c>
      <c r="V56" s="5" t="s">
        <v>245</v>
      </c>
      <c r="W56" s="6">
        <v>36328</v>
      </c>
      <c r="X56" s="2">
        <v>6</v>
      </c>
      <c r="Y56" s="2">
        <v>46</v>
      </c>
      <c r="AA56" s="2">
        <v>41</v>
      </c>
      <c r="AB56" s="2">
        <v>42</v>
      </c>
      <c r="AC56" s="2" t="str">
        <f>IFERROR(INDEX('ringer measureables'!$A:$J,MATCH($A56,'ringer measureables'!$A:$A,FALSE),7), "")</f>
        <v>6'3</v>
      </c>
      <c r="AD56" s="2">
        <f>IFERROR(INDEX('ringer measureables'!$A:$J,MATCH($A56,'ringer measureables'!$A:$A,FALSE),9), "")</f>
        <v>188</v>
      </c>
      <c r="AE56" s="2" t="str">
        <f>IFERROR(INDEX('ringer measureables'!$A:$J,MATCH($A56,'ringer measureables'!$A:$A,FALSE),10), "")</f>
        <v>6'10</v>
      </c>
      <c r="AF56" s="2">
        <f>IFERROR(INDEX('ringer measureables'!$A:$J,MATCH($A56,'ringer measureables'!$A:$A,FALSE),8), "")</f>
        <v>0</v>
      </c>
      <c r="AG56" t="str">
        <f t="shared" si="7"/>
        <v xml:space="preserve">
&lt;!-- rankings --&gt;
  &lt;h2&gt; Tier 1 (~55+ FV)&lt;/h2&gt;
  &lt;ol start='1 '&gt;
    &lt;li&gt;&lt;b&gt;&lt;a 
    target='_blank' 
    href='https://www.nba.com/draft/2020/prospects/onyeka-okongwu#/'&gt;Onyeka Okongwu&lt;/a&gt;&lt;/b&gt; - &lt;i&gt;PF -
    &lt;a target='_blank'
    href='https://www.sports-reference.com/cbb/players/onyeka-okongwu-1.html'&gt;USC&lt;/a&gt;&lt;/b&gt; &lt;/i&gt;&lt;/li&gt;
  &lt;ul style='list-style-type:none'&gt;
    &lt;li&gt;Grade: Freshman &lt;/li&gt;
    &lt;li&gt;Age: 19.9 &lt;/li&gt;
    &lt;li&gt;Height: 81 in &lt;/li&gt;
    &lt;li&gt;Weight: 245 lbs &lt;/li&gt;
    &lt;li&gt;Wingspan: 85 in &lt;/li&gt;
    &lt;li&gt;Ape: +4 &lt;/li&gt;
    &lt;li&gt;++: defensive versatility &lt;/li&gt;
    &lt;li&gt;+: finishing, playmaking as a big, motor, shooting &lt;/li&gt;
    &lt;li&gt;-: may not be quite big enough to hang with elite Centers &lt;/li&gt;
  &lt;/ul&gt;
  &lt;br&gt;  &lt;li&gt;&lt;b&gt;&lt;a 
    target='_blank' 
    href='https://www.nba.com/draft/2020/prospects/lamelo-ball#/'&gt;LaMelo Ball&lt;/a&gt;&lt;/b&gt; - &lt;i&gt;PG -
    &lt;a target='_blank'
    href='https://www.basketball-reference.com/international/players/lamelo-ball-1.html'&gt;Illawarra Hawks (Australia)&lt;/a&gt;&lt;/b&gt; &lt;/i&gt;&lt;/li&gt;
  &lt;ul style='list-style-type:none'&gt;
    &lt;li&gt;Age: 19.2 &lt;/li&gt;
    &lt;li&gt;Height: 79 in &lt;/li&gt;
    &lt;li&gt;Weight: 190 lbs &lt;/li&gt;
    &lt;li&gt;Wingspan: 82 in &lt;/li&gt;
    &lt;li&gt;Ape: +3 &lt;/li&gt;
    &lt;li&gt;++: age, primary ball handling, passing &lt;/li&gt;
    &lt;li&gt;+: size, rebounding &lt;/li&gt;
    &lt;li&gt;-: effort, decision making &lt;/li&gt;
    &lt;li&gt;--: finishing, shot selection &lt;/li&gt;
  &lt;/ul&gt;
  &lt;br&gt;  &lt;li&gt;&lt;b&gt;&lt;a 
    target='_blank' 
    href='https://www.nba.com/draft/2020/prospects/atnhony-edwards#/'&gt;Anthony Edwards&lt;/a&gt;&lt;/b&gt; - &lt;i&gt;SG -
    &lt;a target='_blank'
    href='https://www.sports-reference.com/cbb/players/anthony-edwards-2.html'&gt;Georgia&lt;/a&gt;&lt;/b&gt; &lt;/i&gt;&lt;/li&gt;
  &lt;ul style='list-style-type:none'&gt;
    &lt;li&gt;Grade: Freshman &lt;/li&gt;
    &lt;li&gt;Age: 19.3 &lt;/li&gt;
    &lt;li&gt;Height: 77 in &lt;/li&gt;
    &lt;li&gt;Weight: 225 lbs &lt;/li&gt;
    &lt;li&gt;Wingspan: 81 in &lt;/li&gt;
    &lt;li&gt;Ape: +4 &lt;/li&gt;
    &lt;li&gt;++: age, strength, athleticism, frame &lt;/li&gt;
    &lt;li&gt;+: ape, shot creation &lt;/li&gt;
    &lt;li&gt;-: playmaking, effort, basketball IQ &lt;/li&gt;
    &lt;li&gt;--: shot selection &lt;/li&gt;
  &lt;/ul&gt;
  &lt;br&gt;  &lt;li&gt;&lt;b&gt;&lt;a 
    target='_blank' 
    href='https://www.nba.com/draft/2020/prospects/james-wiseman#/'&gt;James Wiseman&lt;/a&gt;&lt;/b&gt; - &lt;i&gt;C -
    &lt;a target='_blank'
    href='https://www.sports-reference.com/cbb/players/james-wiseman-1.html'&gt;Memphis&lt;/a&gt;&lt;/b&gt; &lt;/i&gt;&lt;/li&gt;
  &lt;ul style='list-style-type:none'&gt;
    &lt;li&gt;Grade: Freshman &lt;/li&gt;
    &lt;li&gt;Age: 19.6 &lt;/li&gt;
    &lt;li&gt;Height: 85 in &lt;/li&gt;
    &lt;li&gt;Weight: 237 lbs &lt;/li&gt;
    &lt;li&gt;Wingspan: 90 in &lt;/li&gt;
    &lt;li&gt;Ape: +5 &lt;/li&gt;
    &lt;li&gt;++: frame, athleticism &lt;/li&gt;
    &lt;li&gt;+: age, rim running, rim protection &lt;/li&gt;
    &lt;li&gt;-: shot selection, decision making &lt;/li&gt;
    &lt;li&gt;--: lack of data, competition, defensive reps &lt;/li&gt;
  &lt;/ul&gt;
  &lt;br&gt;
  &lt;/ol&gt;
  &lt;h2&gt; Tier 2 (~55 FV)&lt;/h2&gt;
  &lt;ol start='5 '&gt;
    &lt;li&gt;&lt;b&gt;&lt;a 
    target='_blank' 
    href='https://www.nba.com/draft/2020/prospects/patrick-williams#/'&gt;Patrick Williams&lt;/a&gt;&lt;/b&gt; - &lt;i&gt;SF -
    &lt;a target='_blank'
    href='https://www.sports-reference.com/cbb/players/patrick-williams-2.html'&gt;Florida State&lt;/a&gt;&lt;/b&gt; &lt;/i&gt;&lt;/li&gt;
  &lt;ul style='list-style-type:none'&gt;
    &lt;li&gt;Grade: Freshman &lt;/li&gt;
    &lt;li&gt;Age: 19.3 &lt;/li&gt;
    &lt;li&gt;Height: 80 in &lt;/li&gt;
    &lt;li&gt;Weight: 225 lbs &lt;/li&gt;
    &lt;li&gt;Wingspan: 83 in &lt;/li&gt;
    &lt;li&gt;Ape: +3 &lt;/li&gt;
    &lt;li&gt;++: age &lt;/li&gt;
    &lt;li&gt;+: off ball defense, free throw shooting, off ball offense &lt;/li&gt;
    &lt;li&gt;-: turnover prone, horizontal athleticism &lt;/li&gt;
  &lt;/ul&gt;
  &lt;br&gt;  &lt;li&gt;&lt;b&gt;&lt;a 
    target='_blank' 
    href='https://www.nba.com/draft/2020/prospects/devin-vassell#/'&gt;Devin Vassell&lt;/a&gt;&lt;/b&gt; - &lt;i&gt;SF -
    &lt;a target='_blank'
    href='https://www.sports-reference.com/cbb/players/devin-vassell-1.html'&gt;Florida State&lt;/a&gt;&lt;/b&gt; &lt;/i&gt;&lt;/li&gt;
  &lt;ul style='list-style-type:none'&gt;
    &lt;li&gt;Grade: Sophomore &lt;/li&gt;
    &lt;li&gt;Age: 20.2 &lt;/li&gt;
    &lt;li&gt;Height: 79 in &lt;/li&gt;
    &lt;li&gt;Weight: 194 lbs &lt;/li&gt;
    &lt;li&gt;Wingspan: 82 in &lt;/li&gt;
    &lt;li&gt;Ape: +3 &lt;/li&gt;
    &lt;li&gt;++: age &lt;/li&gt;
    &lt;li&gt;+: defensive motor, on ball defense, shot selection &lt;/li&gt;
    &lt;li&gt;-: finishing, strength &lt;/li&gt;
  &lt;/ul&gt;
  &lt;br&gt;
  &lt;/ol&gt;
  &lt;h2&gt; Tier 3 (~50+ FV)&lt;/h2&gt;
  &lt;ol start='7 '&gt;
    &lt;li&gt;&lt;b&gt;&lt;a 
    target='_blank' 
    href='https://www.nba.com/draft/2020/prospects/killian-hayes#/'&gt;Killian Hayes&lt;/a&gt;&lt;/b&gt; - &lt;i&gt;PG -
    &lt;a target='_blank'
    href='https://www.basketball-reference.com/international/players/killian-hayes-1.html'&gt;Ratiopharm (Germany)&lt;/a&gt;&lt;/b&gt; &lt;/i&gt;&lt;/li&gt;
  &lt;ul style='list-style-type:none'&gt;
    &lt;li&gt;Age: 19.3 &lt;/li&gt;
    &lt;li&gt;Height: 77 in &lt;/li&gt;
    &lt;li&gt;Weight: 215 lbs &lt;/li&gt;
    &lt;li&gt;Wingspan: 80.25 in &lt;/li&gt;
    &lt;li&gt;Ape: +3.25 &lt;/li&gt;
    &lt;li&gt;++: age &lt;/li&gt;
    &lt;li&gt;+: size, shot creation/playmaking, shooting &lt;/li&gt;
    &lt;li&gt;-: athleticism, driving, right hand dominance &lt;/li&gt;
  &lt;/ul&gt;
  &lt;br&gt;  &lt;li&gt;&lt;b&gt;&lt;a 
    target='_blank' 
    href='https://www.nba.com/draft/2020/prospects/kira-lewis#/'&gt;Kira Lewis Jr.&lt;/a&gt;&lt;/b&gt; - &lt;i&gt;PG -
    &lt;a target='_blank'
    href='https://www.sports-reference.com/cbb/players/kira-lewisjr-1.html'&gt;Alabama&lt;/a&gt;&lt;/b&gt; &lt;/i&gt;&lt;/li&gt;
  &lt;ul style='list-style-type:none'&gt;
    &lt;li&gt;Grade: Sophomore &lt;/li&gt;
    &lt;li&gt;Age: 19.6 &lt;/li&gt;
    &lt;li&gt;Height: 75 in &lt;/li&gt;
    &lt;li&gt;Weight: 165 lbs &lt;/li&gt;
    &lt;li&gt;Wingspan: 78 in &lt;/li&gt;
    &lt;li&gt;Ape: +3 &lt;/li&gt;
    &lt;li&gt;++: age &lt;/li&gt;
    &lt;li&gt;+: shooting, shot creation, pick-and-roll ability &lt;/li&gt;
    &lt;li&gt;-: defensive versatility, playmaking, frame &lt;/li&gt;
  &lt;/ul&gt;
  &lt;br&gt;  &lt;li&gt;&lt;b&gt;&lt;a 
    target='_blank' 
    href='https://www.nba.com/draft/2020/prospects/tyrese-haliburton#/'&gt;Tyrese Haliburton&lt;/a&gt;&lt;/b&gt; - &lt;i&gt;PG -
    &lt;a target='_blank'
    href='https://www.sports-reference.com/cbb/players/tyrese-haliburton-1.html'&gt;Iowa State&lt;/a&gt;&lt;/b&gt; &lt;/i&gt;&lt;/li&gt;
  &lt;ul style='list-style-type:none'&gt;
    &lt;li&gt;Grade: Sophomore &lt;/li&gt;
    &lt;li&gt;Age: 20.7 &lt;/li&gt;
    &lt;li&gt;Height: 77 in &lt;/li&gt;
    &lt;li&gt;Weight: 175 lbs &lt;/li&gt;
    &lt;li&gt;Wingspan: 80 in &lt;/li&gt;
    &lt;li&gt;Ape: +3 &lt;/li&gt;
    &lt;li&gt;+: basketball IQ, shot selection, playmaking &lt;/li&gt;
    &lt;li&gt;-: athleticsm, shot creation, interior offense &lt;/li&gt;
  &lt;/ul&gt;
  &lt;br&gt;
  &lt;/ol&gt;
  &lt;h2&gt; Tier 4 (~50 FV)&lt;/h2&gt;
  &lt;ol start='10 '&gt;
    &lt;li&gt;&lt;b&gt;&lt;a 
    target='_blank' 
    href='https://www.nba.com/draft/2020/prospects/aleksej-pokusevski#/'&gt;Aleksej Pokusevski&lt;/a&gt;&lt;/b&gt; - &lt;i&gt;PF -
    &lt;a target='_blank'
    href='https://www.basketball-reference.com/international/players/aleksej-pokusevski-1.html'&gt;Olympiacos B (Greece A2) &lt;/a&gt;&lt;/b&gt; &lt;/i&gt;&lt;/li&gt;
  &lt;ul style='list-style-type:none'&gt;
    &lt;li&gt;Age: 18.9 &lt;/li&gt;
    &lt;li&gt;Height: 84 in &lt;/li&gt;
    &lt;li&gt;Weight: 201 lbs &lt;/li&gt;
    &lt;li&gt;Wingspan: 87 in &lt;/li&gt;
    &lt;li&gt;Ape: +3 &lt;/li&gt;
    &lt;li&gt;++: age &lt;/li&gt;
    &lt;li&gt;+: height and fluidity allows for unicorn potential &lt;/li&gt;
    &lt;li&gt;-: height and weight allows for bust potential, quality of competition &lt;/li&gt;
  &lt;/ul&gt;
  &lt;br&gt;  &lt;li&gt;&lt;b&gt;&lt;a 
    target='_blank' 
    href='https://www.nba.com/draft/2020/prospects/deni-avdija#/'&gt;Deni Avdija&lt;/a&gt;&lt;/b&gt; - &lt;i&gt;SF -
    &lt;a target='_blank'
    href='https://www.basketball-reference.com/international/players/deni-avdija-1.html'&gt;Maccabi Tel Aviv (Israel)&lt;/a&gt;&lt;/b&gt; &lt;/i&gt;&lt;/li&gt;
  &lt;ul style='list-style-type:none'&gt;
    &lt;li&gt;Age: 19.9 &lt;/li&gt;
    &lt;li&gt;Height: 81 in &lt;/li&gt;
    &lt;li&gt;Weight: 215 lbs &lt;/li&gt;
    &lt;li&gt;Wingspan: 81 in &lt;/li&gt;
    &lt;li&gt;Ape: +0 &lt;/li&gt;
    &lt;li&gt;+: secondary ball handling/playmaking, basketball IQ &lt;/li&gt;
    &lt;li&gt;-: athleticism &lt;/li&gt;
    &lt;li&gt;--: shooting, wingspan &lt;/li&gt;
  &lt;/ul&gt;
  &lt;br&gt;  &lt;li&gt;&lt;b&gt;&lt;a 
    target='_blank' 
    href='https://www.nba.com/draft/2020/prospects/isaac-okoro#/'&gt;Isaac Okoro&lt;/a&gt;&lt;/b&gt; - &lt;i&gt;SF -
    &lt;a target='_blank'
    href='https://www.sports-reference.com/cbb/players/isaac-okoro-1.html'&gt;Auburn&lt;/a&gt;&lt;/b&gt; &lt;/i&gt;&lt;/li&gt;
  &lt;ul style='list-style-type:none'&gt;
    &lt;li&gt;Grade: Freshman &lt;/li&gt;
    &lt;li&gt;Age: 19.8 &lt;/li&gt;
    &lt;li&gt;Height: 78 in &lt;/li&gt;
    &lt;li&gt;Weight: 225 lbs &lt;/li&gt;
    &lt;li&gt;Wingspan: 81 in &lt;/li&gt;
    &lt;li&gt;Ape: +3 &lt;/li&gt;
    &lt;li&gt;++: wing defense &lt;/li&gt;
    &lt;li&gt;+: secondary ball handling/playmaking, interior finishing/foul drawing &lt;/li&gt;
    &lt;li&gt;--: shooting &lt;/li&gt;
  &lt;/ul&gt;
  &lt;br&gt;  &lt;li&gt;&lt;b&gt;&lt;a 
    target='_blank' 
    href='https://www.nba.com/draft/2020/prospects/tyrese-maxey#/'&gt;Tyrese Maxey&lt;/a&gt;&lt;/b&gt; - &lt;i&gt;PG -
    &lt;a target='_blank'
    href='https://www.sports-reference.com/cbb/players/tyrese-maxey-1.html'&gt;Kentucky&lt;/a&gt;&lt;/b&gt; &lt;/i&gt;&lt;/li&gt;
  &lt;ul style='list-style-type:none'&gt;
    &lt;li&gt;Grade: Freshman &lt;/li&gt;
    &lt;li&gt;Age: 20 &lt;/li&gt;
    &lt;li&gt;Height: 75 in &lt;/li&gt;
    &lt;li&gt;Weight: 198 lbs &lt;/li&gt;
    &lt;li&gt;Wingspan: 78 in &lt;/li&gt;
    &lt;li&gt;Ape: +3 &lt;/li&gt;
    &lt;li&gt;+: finishing, free throw shooting, defense &lt;/li&gt;
    &lt;li&gt;-: shot creation &lt;/li&gt;
  &lt;/ul&gt;
  &lt;br&gt;  &lt;li&gt;&lt;b&gt;&lt;a 
    target='_blank' 
    href='https://www.nba.com/draft/2020/prospects/tyrell-terry#/'&gt;Tyrell Terry&lt;/a&gt;&lt;/b&gt; - &lt;i&gt;PG -
    &lt;a target='_blank'
    href='https://www.sports-reference.com/cbb/players/tyrell-terry-1.html'&gt;Stanford&lt;/a&gt;&lt;/b&gt; &lt;/i&gt;&lt;/li&gt;
  &lt;ul style='list-style-type:none'&gt;
    &lt;li&gt;Grade: Freshman &lt;/li&gt;
    &lt;li&gt;Age: 20.1 &lt;/li&gt;
    &lt;li&gt;Height: 74 in &lt;/li&gt;
    &lt;li&gt;Weight: 174 lbs &lt;/li&gt;
    &lt;li&gt;++: shooting &lt;/li&gt;
    &lt;li&gt;+: off-ball movement, pick-and-roll ball handling &lt;/li&gt;
    &lt;li&gt;-: playmaking, effort, basketball IQ &lt;/li&gt;
    &lt;li&gt;--: size limits defensive ability &lt;/li&gt;
  &lt;/ul&gt;
  &lt;br&gt;  &lt;li&gt;&lt;b&gt;&lt;a 
    target='_blank' 
    href='https://www.nba.com/draft/2020/prospects/josh-green#/'&gt;Josh Green&lt;/a&gt;&lt;/b&gt; - &lt;i&gt;SG -
    &lt;a target='_blank'
    href='https://www.sports-reference.com/cbb/players/josh-green-2.html'&gt;Arizona&lt;/a&gt;&lt;/b&gt; &lt;/i&gt;&lt;/li&gt;
  &lt;ul style='list-style-type:none'&gt;
    &lt;li&gt;Grade: Freshman &lt;/li&gt;
    &lt;li&gt;Age: 20 &lt;/li&gt;
    &lt;li&gt;Height: 78 in &lt;/li&gt;
    &lt;li&gt;Weight: 210 lbs &lt;/li&gt;
    &lt;li&gt;Wingspan: 82.25 in &lt;/li&gt;
    &lt;li&gt;Ape: +4.25 &lt;/li&gt;
    &lt;li&gt;+: shooting, defense &lt;/li&gt;
    &lt;li&gt;-: playmaking, finishing &lt;/li&gt;
  &lt;/ul&gt;
  &lt;br&gt;  &lt;li&gt;&lt;b&gt;&lt;a 
    target='_blank' 
    href='https://www.nba.com/draft/2020/prospects/saddiq-bey#/'&gt;Saddiq Bey&lt;/a&gt;&lt;/b&gt; - &lt;i&gt;SF -
    &lt;a target='_blank'
    href='https://www.sports-reference.com/cbb/players/saddiq-bey-1.html'&gt;Villanova&lt;/a&gt;&lt;/b&gt; &lt;/i&gt;&lt;/li&gt;
  &lt;ul style='list-style-type:none'&gt;
    &lt;li&gt;Grade: Sophomore &lt;/li&gt;
    &lt;li&gt;Age: 21.6 &lt;/li&gt;
    &lt;li&gt;Height: 80 in &lt;/li&gt;
    &lt;li&gt;Weight: 216 lbs &lt;/li&gt;
    &lt;li&gt;Wingspan: 82 in &lt;/li&gt;
    &lt;li&gt;Ape: +2 &lt;/li&gt;
    &lt;li&gt;+: improved shooting, defensive awareness and versatility &lt;/li&gt;
    &lt;li&gt;-: wingspan athleticism, likely 4th or 5th option offensively &lt;/li&gt;
    &lt;li&gt;--: age &lt;/li&gt;
  &lt;/ul&gt;
  &lt;br&gt;  &lt;li&gt;&lt;b&gt;&lt;a 
    target='_blank' 
    href='https://www.nba.com/draft/2020/prospects/aaron-nesmith#/'&gt;Aaron Nesmith&lt;/a&gt;&lt;/b&gt; - &lt;i&gt;SF -
    &lt;a target='_blank'
    href='https://www.sports-reference.com/cbb/players/aaron-nesmith-1.html'&gt;Vanderbilt&lt;/a&gt;&lt;/b&gt; &lt;/i&gt;&lt;/li&gt;
  &lt;ul style='list-style-type:none'&gt;
    &lt;li&gt;Grade: Sophomore &lt;/li&gt;
    &lt;li&gt;Age: 21.1 &lt;/li&gt;
    &lt;li&gt;Height: 78 in &lt;/li&gt;
    &lt;li&gt;Weight: 213 lbs &lt;/li&gt;
    &lt;li&gt;Wingspan: 82 in &lt;/li&gt;
    &lt;li&gt;Ape: +4 &lt;/li&gt;
    &lt;li&gt;++: shooting &lt;/li&gt;
    &lt;li&gt;+: plays within role &lt;/li&gt;
    &lt;li&gt;-: shot creation, playmaking, defense &lt;/li&gt;
  &lt;/ul&gt;
  &lt;br&gt;
  &lt;/ol&gt;
  &lt;h2&gt; Tier 5 (~45+ FV)&lt;/h2&gt;
  &lt;ol start='18 '&gt;
    &lt;li&gt;&lt;b&gt;&lt;a 
    target='_blank' 
    href='https://www.nba.com/draft/2020/prospects/cole-anthony#/'&gt;Cole Anthony&lt;/a&gt;&lt;/b&gt; - &lt;i&gt;PG -
    &lt;a target='_blank'
    href='https://www.sports-reference.com/cbb/players/cole-anthony-1.html'&gt;North Carolina&lt;/a&gt;&lt;/b&gt; &lt;/i&gt;&lt;/li&gt;
  &lt;ul style='list-style-type:none'&gt;
    &lt;li&gt;Grade: Freshman &lt;/li&gt;
    &lt;li&gt;Age: 20.5 &lt;/li&gt;
    &lt;li&gt;Height: 75 in &lt;/li&gt;
    &lt;li&gt;Weight: 190 lbs &lt;/li&gt;
    &lt;li&gt;Wingspan: 76.5 in &lt;/li&gt;
    &lt;li&gt;Ape: +1.5 &lt;/li&gt;
    &lt;li&gt;+: scoring &lt;/li&gt;
    &lt;li&gt;-: age, wingspan, shot selection &lt;/li&gt;
  &lt;/ul&gt;
  &lt;br&gt;  &lt;li&gt;&lt;b&gt;&lt;a 
    target='_blank' 
    href='https://www.nba.com/draft/2020/prospects/jalen-smith#/'&gt;Jalen Smith&lt;/a&gt;&lt;/b&gt; - &lt;i&gt;PF -
    &lt;a target='_blank'
    href='https://www.sports-reference.com/cbb/players/jalen-smith-1.html'&gt;Maryland&lt;/a&gt;&lt;/b&gt; &lt;/i&gt;&lt;/li&gt;
  &lt;ul style='list-style-type:none'&gt;
    &lt;li&gt;Grade: Sophomore &lt;/li&gt;
    &lt;li&gt;Age: 20.7 &lt;/li&gt;
    &lt;li&gt;Height: 82 in &lt;/li&gt;
    &lt;li&gt;Weight: 225 lbs &lt;/li&gt;
    &lt;li&gt;Wingspan: 85.5 in &lt;/li&gt;
    &lt;li&gt;Ape: +3.5 &lt;/li&gt;
    &lt;li&gt;+: age, stretch shooting, pick and roll screening, motor &lt;/li&gt;
    &lt;li&gt;-: interior scoring, horizontal athleticism, passing &lt;/li&gt;
  &lt;/ul&gt;
  &lt;br&gt;  &lt;li&gt;&lt;b&gt;&lt;a 
    target='_blank' 
    href='https://www.nba.com/draft/2020/prospects/obi-toppin#/'&gt;Obi Toppin&lt;/a&gt;&lt;/b&gt; - &lt;i&gt;PF -
    &lt;a target='_blank'
    href='https://www.sports-reference.com/cbb/players/obadiah-toppin-1.html'&gt;Dayton&lt;/a&gt;&lt;/b&gt; &lt;/i&gt;&lt;/li&gt;
  &lt;ul style='list-style-type:none'&gt;
    &lt;li&gt;Grade: Sophomore &lt;/li&gt;
    &lt;li&gt;Age: 22.7 &lt;/li&gt;
    &lt;li&gt;Height: 81 in &lt;/li&gt;
    &lt;li&gt;Weight: 220 lbs &lt;/li&gt;
    &lt;li&gt;Wingspan: 83 in &lt;/li&gt;
    &lt;li&gt;Ape: +2 &lt;/li&gt;
    &lt;li&gt;++: rim running, vertical athleticism &lt;/li&gt;
    &lt;li&gt;+: ball handling/playmaking as a big &lt;/li&gt;
    &lt;li&gt;-: wingspan, defense &lt;/li&gt;
    &lt;li&gt;--: age, horizontal athleticism &lt;/li&gt;
  &lt;/ul&gt;
  &lt;br&gt;  &lt;li&gt;&lt;b&gt;&lt;a 
    target='_blank' 
    href='https://www.nba.com/draft/2020/prospects/rj-hampton#/'&gt;R.J. Hampton&lt;/a&gt;&lt;/b&gt; - &lt;i&gt;PG -
    &lt;a target='_blank'
    href='https://www.basketball-reference.com/international/players/rj-hampton-1.html'&gt;New Zealand Breakers (New Zealand)&lt;/a&gt;&lt;/b&gt; &lt;/i&gt;&lt;/li&gt;
  &lt;ul style='list-style-type:none'&gt;
    &lt;li&gt;Age: 19.8 &lt;/li&gt;
    &lt;li&gt;Height: 77 in &lt;/li&gt;
    &lt;li&gt;Weight: 188 lbs &lt;/li&gt;
    &lt;li&gt;Wingspan: 79 in &lt;/li&gt;
    &lt;li&gt;Ape: +2 &lt;/li&gt;
    &lt;li&gt;+: athleticism, frame &lt;/li&gt;
    &lt;li&gt;-: shooting, raw &lt;/li&gt;
  &lt;/ul&gt;
  &lt;br&gt;  &lt;li&gt;&lt;b&gt;&lt;a 
    target='_blank' 
    href='https://www.nba.com/draft/2020/prospects/theo-maledon#/'&gt;Theo Maledon&lt;/a&gt;&lt;/b&gt; - &lt;i&gt;PG -
    &lt;a target='_blank'
    href='https://www.basketball-reference.com/international/players/theo-maledon-1.html'&gt;ASVEL (France)&lt;/a&gt;&lt;/b&gt; &lt;/i&gt;&lt;/li&gt;
  &lt;ul style='list-style-type:none'&gt;
    &lt;li&gt;Age: 19.4 &lt;/li&gt;
    &lt;li&gt;Height: 76 in &lt;/li&gt;
    &lt;li&gt;Weight: 174 lbs &lt;/li&gt;
    &lt;li&gt;Wingspan: 80.5 in &lt;/li&gt;
    &lt;li&gt;Ape: +4.5 &lt;/li&gt;
    &lt;li&gt;++: age &lt;/li&gt;
    &lt;li&gt;+: wingspan, floor general &lt;/li&gt;
    &lt;li&gt;-: shot creation &lt;/li&gt;
  &lt;/ul&gt;
  &lt;br&gt;  &lt;li&gt;&lt;b&gt;&lt;a 
    target='_blank' 
    href='https://www.nba.com/draft/2020/prospects/jaden-mcdaniels#/'&gt;Jaden McDaniels&lt;/a&gt;&lt;/b&gt; - &lt;i&gt;SF -
    &lt;a target='_blank'
    href='https://www.sports-reference.com/cbb/players/jaden-mcdaniels-1.html'&gt;Washington&lt;/a&gt;&lt;/b&gt; &lt;/i&gt;&lt;/li&gt;
  &lt;ul style='list-style-type:none'&gt;
    &lt;li&gt;Grade: Freshman &lt;/li&gt;
    &lt;li&gt;Age: 20.1 &lt;/li&gt;
    &lt;li&gt;Height: 81 in &lt;/li&gt;
    &lt;li&gt;Weight: 200 lbs &lt;/li&gt;
    &lt;li&gt;Wingspan: 83.5 in &lt;/li&gt;
    &lt;li&gt;Ape: +2.5 &lt;/li&gt;
    &lt;li&gt;+: frame, athleticism, defensive versatility &lt;/li&gt;
    &lt;li&gt;-: playmaking, offensive role &lt;/li&gt;
  &lt;/ul&gt;
  &lt;br&gt;  &lt;li&gt;&lt;b&gt;&lt;a 
    target='_blank' 
    href='https://www.nba.com/draft/2020/prospects/killian-tillie#/'&gt;Killian Tillie&lt;/a&gt;&lt;/b&gt; - &lt;i&gt;PF -
    &lt;a target='_blank'
    href='https://www.sports-reference.com/cbb/players/killian-tillie-1.html'&gt;Gonzaga&lt;/a&gt;&lt;/b&gt; &lt;/i&gt;&lt;/li&gt;
  &lt;ul style='list-style-type:none'&gt;
    &lt;li&gt;Grade: Senior &lt;/li&gt;
    &lt;li&gt;Age: 22.7 &lt;/li&gt;
    &lt;li&gt;Height: 82 in &lt;/li&gt;
    &lt;li&gt;Weight: 220 lbs &lt;/li&gt;
    &lt;li&gt;Wingspan: 82 in &lt;/li&gt;
    &lt;li&gt;Ape: +0 &lt;/li&gt;
    &lt;li&gt;++: shooting &lt;/li&gt;
    &lt;li&gt;+: interior defense &lt;/li&gt;
    &lt;li&gt;-: athleticism, injuries &lt;/li&gt;
    &lt;li&gt;--: wingspan &lt;/li&gt;
  &lt;/ul&gt;
  &lt;br&gt;
  &lt;/ol&gt;
  &lt;h2&gt; Tier 6 (~45 FV)&lt;/h2&gt;
  &lt;ol start='25 '&gt;
    &lt;li&gt;&lt;b&gt;&lt;a 
    target='_blank' 
    href='https://www.nba.com/draft/2020/prospects/jahmius-ramsey#/'&gt;Jahmi'us Ramsey&lt;/a&gt;&lt;/b&gt; - &lt;i&gt;SG -
    &lt;a target='_blank'
    href='https://www.sports-reference.com/cbb/players/jahmius-ramsey-1.html'&gt;Texas Tech&lt;/a&gt;&lt;/b&gt; &lt;/i&gt;&lt;/li&gt;
  &lt;ul style='list-style-type:none'&gt;
    &lt;li&gt;Grade: Freshman &lt;/li&gt;
    &lt;li&gt;Age: 19.4 &lt;/li&gt;
    &lt;li&gt;Height: 76 in &lt;/li&gt;
    &lt;li&gt;Weight: 195 lbs &lt;/li&gt;
    &lt;li&gt;Wingspan: 78 in &lt;/li&gt;
    &lt;li&gt;Ape: +2 &lt;/li&gt;
    &lt;li&gt;+: age, shot creation, frame, athleticism &lt;/li&gt;
    &lt;li&gt;-: shot selection, free throw shooting &lt;/li&gt;
  &lt;/ul&gt;
  &lt;br&gt;  &lt;li&gt;&lt;b&gt;&lt;a 
    target='_blank' 
    href='https://www.nba.com/draft/2020/prospects/desmond-bane#/'&gt;Desmond Bane&lt;/a&gt;&lt;/b&gt; - &lt;i&gt;SG -
    &lt;a target='_blank'
    href='https://www.sports-reference.com/cbb/players/desmond-bane-1.html'&gt;TCU&lt;/a&gt;&lt;/b&gt; &lt;/i&gt;&lt;/li&gt;
  &lt;ul style='list-style-type:none'&gt;
    &lt;li&gt;Grade: Senior &lt;/li&gt;
    &lt;li&gt;Age: 22.4 &lt;/li&gt;
    &lt;li&gt;Height: 78 in &lt;/li&gt;
    &lt;li&gt;Weight: 215 lbs &lt;/li&gt;
    &lt;li&gt;Wingspan: 77 in &lt;/li&gt;
    &lt;li&gt;Ape: -1 &lt;/li&gt;
    &lt;li&gt;++: age for experience &lt;/li&gt;
    &lt;li&gt;+: shooting, basketball IQ &lt;/li&gt;
    &lt;li&gt;-: athleticism &lt;/li&gt;
    &lt;li&gt;--: wingspan &lt;/li&gt;
  &lt;/ul&gt;
  &lt;br&gt;  &lt;li&gt;&lt;b&gt;&lt;a 
    target='_blank' 
    href='https://www.nba.com/draft/2020/prospects/tre-jones#/'&gt;Tre Jones&lt;/a&gt;&lt;/b&gt; - &lt;i&gt;PG -
    &lt;a target='_blank'
    href='https://www.sports-reference.com/cbb/players/tre-jones-1.html'&gt;Duke&lt;/a&gt;&lt;/b&gt; &lt;/i&gt;&lt;/li&gt;
  &lt;ul style='list-style-type:none'&gt;
    &lt;li&gt;Grade: Sophomore &lt;/li&gt;
    &lt;li&gt;Age: 20.9 &lt;/li&gt;
    &lt;li&gt;Height: 75 in &lt;/li&gt;
    &lt;li&gt;Weight: 185 lbs &lt;/li&gt;
    &lt;li&gt;Wingspan: 76 in &lt;/li&gt;
    &lt;li&gt;Ape: +1 &lt;/li&gt;
    &lt;li&gt;+: floor general, defensive IQ &lt;/li&gt;
    &lt;li&gt;-: wingspan, finishing, defensive versatility &lt;/li&gt;
  &lt;/ul&gt;
  &lt;br&gt;  &lt;li&gt;&lt;b&gt;&lt;a 
    target='_blank' 
    href='https://www.nba.com/draft/2020/prospects/vernon-carey#/'&gt;Vernon Carey Jr.&lt;/a&gt;&lt;/b&gt; - &lt;i&gt;C -
    &lt;a target='_blank'
    href='https://www.sports-reference.com/cbb/players/vernon-careyjr-1.html'&gt;Duke&lt;/a&gt;&lt;/b&gt; &lt;/i&gt;&lt;/li&gt;
  &lt;ul style='list-style-type:none'&gt;
    &lt;li&gt;Grade: Freshman &lt;/li&gt;
    &lt;li&gt;Age: 19.7 &lt;/li&gt;
    &lt;li&gt;Height: 82 in &lt;/li&gt;
    &lt;li&gt;Weight: 270 lbs &lt;/li&gt;
    &lt;li&gt;Wingspan: 84 in &lt;/li&gt;
    &lt;li&gt;Ape: +2 &lt;/li&gt;
    &lt;li&gt;+: interior offense, rebounding &lt;/li&gt;
    &lt;li&gt;-: wingspan, role, defense &lt;/li&gt;
  &lt;/ul&gt;
  &lt;br&gt;  &lt;li&gt;&lt;b&gt;&lt;a 
    target='_blank' 
    href='https://www.nba.com/draft/2020/prospects/robert-woodard#/'&gt;Robert Woodard II&lt;/a&gt;&lt;/b&gt; - &lt;i&gt;SF -
    &lt;a target='_blank'
    href='https://www.sports-reference.com/cbb/players/robert-woodard-2.html'&gt;Mississippi State&lt;/a&gt;&lt;/b&gt; &lt;/i&gt;&lt;/li&gt;
  &lt;ul style='list-style-type:none'&gt;
    &lt;li&gt;Grade: Sophomore &lt;/li&gt;
    &lt;li&gt;Age: 21.2 &lt;/li&gt;
    &lt;li&gt;Height: 79 in &lt;/li&gt;
    &lt;li&gt;Weight: 235 lbs &lt;/li&gt;
    &lt;li&gt;Wingspan: 85 in &lt;/li&gt;
    &lt;li&gt;Ape: +6 &lt;/li&gt;
    &lt;li&gt;++: wingspan &lt;/li&gt;
    &lt;li&gt;+: finishing, passing, off-ball defense &lt;/li&gt;
    &lt;li&gt;-: age, shooting, athleticism &lt;/li&gt;
  &lt;/ul&gt;
  &lt;br&gt;  &lt;li&gt;&lt;b&gt;&lt;a 
    target='_blank' 
    href='https://www.nba.com/draft/2020/prospects/paul-reed#/'&gt;Paul Reed&lt;/a&gt;&lt;/b&gt; - &lt;i&gt;PF -
    &lt;a target='_blank'
    href='https://www.sports-reference.com/cbb/players/paul-reed-5.html'&gt;DePaul&lt;/a&gt;&lt;/b&gt; &lt;/i&gt;&lt;/li&gt;
  &lt;ul style='list-style-type:none'&gt;
    &lt;li&gt;Grade: Junior &lt;/li&gt;
    &lt;li&gt;Age: 21.4 &lt;/li&gt;
    &lt;li&gt;Height: 81 in &lt;/li&gt;
    &lt;li&gt;Weight: 220 lbs &lt;/li&gt;
    &lt;li&gt;Wingspan: 86 in &lt;/li&gt;
    &lt;li&gt;Ape: +5 &lt;/li&gt;
    &lt;li&gt;++: age, great last name, is named PAUL and went to a school called dePAUL which is a sweet power move &lt;/li&gt;
    &lt;li&gt;+: finishing, defense &lt;/li&gt;
    &lt;li&gt;-: shooting, playmaking &lt;/li&gt;
  &lt;/ul&gt;
  &lt;br&gt;  &lt;li&gt;&lt;b&gt;&lt;a 
    target='_blank' 
    href='https://www.nba.com/draft/2020/prospects/leandro-bolmaro#/'&gt;Leandro Bolmaro&lt;/a&gt;&lt;/b&gt; - &lt;i&gt;SF -
    &lt;a target='_blank'
    href='https://www.basketball-reference.com/international/players/leandro-bolmaro-1.html'&gt;FC Barcelona (Spain)&lt;/a&gt;&lt;/b&gt; &lt;/i&gt;&lt;/li&gt;
  &lt;ul style='list-style-type:none'&gt;
    &lt;li&gt;Age: 20.2 &lt;/li&gt;
    &lt;li&gt;Height: 79 in &lt;/li&gt;
    &lt;li&gt;Weight: 180 lbs &lt;/li&gt;
    &lt;li&gt;Wingspan: 80 in &lt;/li&gt;
    &lt;li&gt;Ape: +1 &lt;/li&gt;
    &lt;li&gt;++: playmaking, basketball IQ &lt;/li&gt;
    &lt;li&gt;-: age, wingspan, athleticism, shooting &lt;/li&gt;
  &lt;/ul&gt;
  &lt;br&gt;  &lt;li&gt;&lt;b&gt;&lt;a 
    target='_blank' 
    href='https://www.nba.com/draft/2020/prospects/grant-riller#/'&gt;Grant Riller&lt;/a&gt;&lt;/b&gt; - &lt;i&gt;PG -
    &lt;a target='_blank'
    href='https://www.sports-reference.com/cbb/players/grant-riller-1.html'&gt;College of Charleston&lt;/a&gt;&lt;/b&gt; &lt;/i&gt;&lt;/li&gt;
  &lt;ul style='list-style-type:none'&gt;
    &lt;li&gt;Grade: Senior &lt;/li&gt;
    &lt;li&gt;Age: 23.8 &lt;/li&gt;
    &lt;li&gt;Height: 75 in &lt;/li&gt;
    &lt;li&gt;Weight: 190 lbs &lt;/li&gt;
    &lt;li&gt;+: shooting, ball handling &lt;/li&gt;
    &lt;li&gt;-: shot selection, defense &lt;/li&gt;
    &lt;li&gt;--: age &lt;/li&gt;
  &lt;/ul&gt;
  &lt;br&gt;  &lt;li&gt;&lt;b&gt;&lt;a 
    target='_blank' 
    href='https://www.nba.com/draft/2020/prospects/precious-achiuwa#/'&gt;Precious Achiuwa&lt;/a&gt;&lt;/b&gt; - &lt;i&gt;PF -
    &lt;a target='_blank'
    href='https://www.sports-reference.com/cbb/players/precious-achiuwa-1.html'&gt;Memphis&lt;/a&gt;&lt;/b&gt; &lt;/i&gt;&lt;/li&gt;
  &lt;ul style='list-style-type:none'&gt;
    &lt;li&gt;Grade: Freshman &lt;/li&gt;
    &lt;li&gt;Age: 20.2 &lt;/li&gt;
    &lt;li&gt;Height: 81 in &lt;/li&gt;
    &lt;li&gt;Weight: 225 lbs &lt;/li&gt;
    &lt;li&gt;Wingspan: 86 in &lt;/li&gt;
    &lt;li&gt;Ape: +5 &lt;/li&gt;
    &lt;li&gt;+: pick-and-roll finishing, rebounding, strength &lt;/li&gt;
    &lt;li&gt;-: age, shooting &lt;/li&gt;
  &lt;/ul&gt;
  &lt;br&gt;  &lt;li&gt;&lt;b&gt;&lt;a 
    target='_blank' 
    href='https://www.nba.com/draft/2020/prospects/nico-mannion#/'&gt;Nico Mannion&lt;/a&gt;&lt;/b&gt; - &lt;i&gt;PG -
    &lt;a target='_blank'
    href='https://www.sports-reference.com/cbb/players/nico-mannion-1.html'&gt;Arizona&lt;/a&gt;&lt;/b&gt; &lt;/i&gt;&lt;/li&gt;
  &lt;ul style='list-style-type:none'&gt;
    &lt;li&gt;Grade: Freshman &lt;/li&gt;
    &lt;li&gt;Age: 19.7 &lt;/li&gt;
    &lt;li&gt;Height: 75 in &lt;/li&gt;
    &lt;li&gt;Weight: 190 lbs &lt;/li&gt;
    &lt;li&gt;Wingspan: 74.5 in &lt;/li&gt;
    &lt;li&gt;Ape: -0.5 &lt;/li&gt;
    &lt;li&gt;+: age, passing, finishing &lt;/li&gt;
    &lt;li&gt;-: defensive versatility &lt;/li&gt;
    &lt;li&gt;--: wingspan &lt;/li&gt;
  &lt;/ul&gt;
  &lt;br&gt;  &lt;li&gt;&lt;b&gt;&lt;a 
    target='_blank' 
    href='https://www.nba.com/draft/2020/prospects/devon-dotson#/'&gt;Devon Dotson&lt;/a&gt;&lt;/b&gt; - &lt;i&gt;PG -
    &lt;a target='_blank'
    href='https://www.sports-reference.com/cbb/players/devon-dotson-1.html'&gt;Kansas&lt;/a&gt;&lt;/b&gt; &lt;/i&gt;&lt;/li&gt;
  &lt;ul style='list-style-type:none'&gt;
    &lt;li&gt;Grade: Sophomore &lt;/li&gt;
    &lt;li&gt;Age: 21.3 &lt;/li&gt;
    &lt;li&gt;Height: 74 in &lt;/li&gt;
    &lt;li&gt;Weight: 185 lbs &lt;/li&gt;
    &lt;li&gt;Wingspan: 75.25 in &lt;/li&gt;
    &lt;li&gt;Ape: +1.25 &lt;/li&gt;
    &lt;li&gt;+: shooting, shot creation, finishing &lt;/li&gt;
    &lt;li&gt;-: age, wingspan, defensive versatility &lt;/li&gt;
  &lt;/ul&gt;
  &lt;br&gt;  &lt;li&gt;&lt;b&gt;&lt;a 
    target='_blank' 
    href=''&gt;Isaiah Joe&lt;/a&gt;&lt;/b&gt; - &lt;i&gt;PG -
    &lt;a target='_blank'
    href='https://www.sports-reference.com/cbb/players/isaiah-joe-1.html'&gt;Arkansas&lt;/a&gt;&lt;/b&gt; &lt;/i&gt;&lt;/li&gt;
  &lt;ul style='list-style-type:none'&gt;
    &lt;li&gt;Grade: Sophomore &lt;/li&gt;
    &lt;li&gt;Age: 21.4 &lt;/li&gt;
    &lt;li&gt;Height: 77 in &lt;/li&gt;
    &lt;li&gt;Weight: 180 lbs &lt;/li&gt;
    &lt;li&gt;+: shooting &lt;/li&gt;
    &lt;li&gt;-: age, defensive versatility &lt;/li&gt;
  &lt;/ul&gt;
  &lt;br&gt;  &lt;li&gt;&lt;b&gt;&lt;a 
    target='_blank' 
    href='https://www.nba.com/draft/2020/prospects/xavier-tillman#/'&gt;Xavier Tillman Sr.&lt;/a&gt;&lt;/b&gt; - &lt;i&gt;PF -
    &lt;a target='_blank'
    href='https://www.sports-reference.com/cbb/players/xavier-tillman-1.html'&gt;Michigan State&lt;/a&gt;&lt;/b&gt; &lt;/i&gt;&lt;/li&gt;
  &lt;ul style='list-style-type:none'&gt;
    &lt;li&gt;Grade: Junior &lt;/li&gt;
    &lt;li&gt;Age: 21.8 &lt;/li&gt;
    &lt;li&gt;Height: 80 in &lt;/li&gt;
    &lt;li&gt;Weight: 245 lbs &lt;/li&gt;
    &lt;li&gt;Wingspan: 85 in &lt;/li&gt;
    &lt;li&gt;Ape: +5 &lt;/li&gt;
    &lt;li&gt;+: wingspan, basketball IQ, playmaking &lt;/li&gt;
    &lt;li&gt;-: athleticism, size &lt;/li&gt;
  &lt;/ul&gt;
  &lt;br&gt;  &lt;li&gt;&lt;b&gt;&lt;a 
    target='_blank' 
    href='https://www.nba.com/draft/2020/prospects/reggie-perry#/'&gt;Reggie Perry&lt;/a&gt;&lt;/b&gt; - &lt;i&gt;PF -
    &lt;a target='_blank'
    href='https://www.sports-reference.com/cbb/players/reggie-perry-2.html'&gt;Mississippi State&lt;/a&gt;&lt;/b&gt; &lt;/i&gt;&lt;/li&gt;
  &lt;ul style='list-style-type:none'&gt;
    &lt;li&gt;Grade: Sophomore &lt;/li&gt;
    &lt;li&gt;Age: 20.7 &lt;/li&gt;
    &lt;li&gt;Height: 81 in &lt;/li&gt;
    &lt;li&gt;Weight: 250 lbs &lt;/li&gt;
    &lt;li&gt;Wingspan: 84.5 in &lt;/li&gt;
    &lt;li&gt;Ape: +3.5 &lt;/li&gt;
    &lt;li&gt;+: age, playmaking &lt;/li&gt;
    &lt;li&gt;-: defense &lt;/li&gt;
  &lt;/ul&gt;
  &lt;br&gt;  &lt;li&gt;&lt;b&gt;&lt;a 
    target='_blank' 
    href='https://www.nba.com/draft/2020/prospects/zeke-nnaji#/'&gt;Zeke Nnaji&lt;/a&gt;&lt;/b&gt; - &lt;i&gt;C -
    &lt;a target='_blank'
    href='https://www.sports-reference.com/cbb/players/zeke-nnaji-1.html'&gt;Arizona&lt;/a&gt;&lt;/b&gt; &lt;/i&gt;&lt;/li&gt;
  &lt;ul style='list-style-type:none'&gt;
    &lt;li&gt;Grade: Freshman &lt;/li&gt;
    &lt;li&gt;Age: 19.9 &lt;/li&gt;
    &lt;li&gt;Height: 83 in &lt;/li&gt;
    &lt;li&gt;Weight: 240 lbs &lt;/li&gt;
    &lt;li&gt;Wingspan: 85 in &lt;/li&gt;
    &lt;li&gt;Ape: +2 &lt;/li&gt;
    &lt;li&gt;+: interior scoring, rebounding &lt;/li&gt;
    &lt;li&gt;-: wingspan, defense &lt;/li&gt;
  &lt;/ul&gt;
  &lt;br&gt;  &lt;li&gt;&lt;b&gt;&lt;a 
    target='_blank' 
    href='https://www.nba.com/draft/2020/prospects/isaiah-stewart#/'&gt;Isaiah Stewart&lt;/a&gt;&lt;/b&gt; - &lt;i&gt;C -
    &lt;a target='_blank'
    href='https://www.sports-reference.com/cbb/players/isaiah-stewart-2.html'&gt;Washington&lt;/a&gt;&lt;/b&gt; &lt;/i&gt;&lt;/li&gt;
  &lt;ul style='list-style-type:none'&gt;
    &lt;li&gt;Grade: Freshman &lt;/li&gt;
    &lt;li&gt;Age: 19.5 &lt;/li&gt;
    &lt;li&gt;Height: 81 in &lt;/li&gt;
    &lt;li&gt;Weight: 250 lbs &lt;/li&gt;
    &lt;li&gt;Wingspan: 88 in &lt;/li&gt;
    &lt;li&gt;Ape: +7 &lt;/li&gt;
    &lt;li&gt;++: wingspan &lt;/li&gt;
    &lt;li&gt;+: age, motor, strength, interior defense &lt;/li&gt;
    &lt;li&gt;-: defensive versatility, finishing &lt;/li&gt;
  &lt;/ul&gt;
  &lt;br&gt;  &lt;li&gt;&lt;b&gt;&lt;a 
    target='_blank' 
    href='https://www.nba.com/draft/2020/prospects/cassius-winston#/'&gt;Cassius Winston&lt;/a&gt;&lt;/b&gt; - &lt;i&gt;PG -
    &lt;a target='_blank'
    href='https://www.sports-reference.com/cbb/players/cassius-winston-1.html'&gt;Michigan State&lt;/a&gt;&lt;/b&gt; &lt;/i&gt;&lt;/li&gt;
  &lt;ul style='list-style-type:none'&gt;
    &lt;li&gt;Grade: Senior &lt;/li&gt;
    &lt;li&gt;Age: 22.7 &lt;/li&gt;
    &lt;li&gt;Height: 73 in &lt;/li&gt;
    &lt;li&gt;Weight: 185 lbs &lt;/li&gt;
    &lt;li&gt;Wingspan: 77.25 in &lt;/li&gt;
    &lt;li&gt;Ape: +4.25 &lt;/li&gt;
    &lt;li&gt;++: wingspan &lt;/li&gt;
    &lt;li&gt;+: floor general, shooting &lt;/li&gt;
    &lt;li&gt;-: size, athleticism &lt;/li&gt;
  &lt;/ul&gt;
  &lt;br&gt;  &lt;li&gt;&lt;b&gt;&lt;a 
    target='_blank' 
    href='https://www.nba.com/draft/2020/prospects/malachi-flynn#/'&gt;Malachi Flynn&lt;/a&gt;&lt;/b&gt; - &lt;i&gt;PG -
    &lt;a target='_blank'
    href='https://www.sports-reference.com/cbb/players/malachi-flynn-1.html'&gt;San Diego State&lt;/a&gt;&lt;/b&gt; &lt;/i&gt;&lt;/li&gt;
  &lt;ul style='list-style-type:none'&gt;
    &lt;li&gt;Grade: Junior &lt;/li&gt;
    &lt;li&gt;Age: 22.5 &lt;/li&gt;
    &lt;li&gt;Height: 73 in &lt;/li&gt;
    &lt;li&gt;Weight: 185 lbs &lt;/li&gt;
    &lt;li&gt;Wingspan: 75 in &lt;/li&gt;
    &lt;li&gt;Ape: +2 &lt;/li&gt;
    &lt;li&gt;+: floor general, shooting &lt;/li&gt;
    &lt;li&gt;-: defensive versatility, athleticism &lt;/li&gt;
  &lt;/ul&gt;
  &lt;br&gt;
  &lt;/ol&gt;
  &lt;h2&gt; Tier 7 (~40+ FV)&lt;/h2&gt;
  &lt;ol start='43 '&gt;
    &lt;li&gt;&lt;b&gt;&lt;a 
    target='_blank' 
    href='https://www.nba.com/draft/2020/prospects/skylar-mays#/'&gt;Skylar Mays&lt;/a&gt;&lt;/b&gt; - &lt;i&gt;SG -
    &lt;a target='_blank'
    href='https://www.sports-reference.com/cbb/players/skylar-mays-1.html'&gt;LSU&lt;/a&gt;&lt;/b&gt; &lt;/i&gt;&lt;/li&gt;
  &lt;ul style='list-style-type:none'&gt;
    &lt;li&gt;Grade: Senior &lt;/li&gt;
    &lt;li&gt;Age: 23.2 &lt;/li&gt;
    &lt;li&gt;Height: 76 in &lt;/li&gt;
    &lt;li&gt;Weight: 205 lbs &lt;/li&gt;
    &lt;li&gt;Wingspan: 79 in &lt;/li&gt;
    &lt;li&gt;Ape: +3 &lt;/li&gt;
    &lt;li&gt;+: shooting, off-ball defense &lt;/li&gt;
    &lt;li&gt;-: age &lt;/li&gt;
  &lt;/ul&gt;
  &lt;br&gt;  &lt;li&gt;&lt;b&gt;&lt;a 
    target='_blank' 
    href='https://www.nba.com/draft/2020/prospects/payton-pritchard#/'&gt;Payton Pritchard&lt;/a&gt;&lt;/b&gt; - &lt;i&gt;PG -
    &lt;a target='_blank'
    href='https://www.sports-reference.com/cbb/players/payton-pritchard-1.html'&gt;Oregon&lt;/a&gt;&lt;/b&gt; &lt;/i&gt;&lt;/li&gt;
  &lt;ul style='list-style-type:none'&gt;
    &lt;li&gt;Grade: Senior &lt;/li&gt;
    &lt;li&gt;Age: 22.8 &lt;/li&gt;
    &lt;li&gt;Height: 74 in &lt;/li&gt;
    &lt;li&gt;Weight: 190 lbs &lt;/li&gt;
    &lt;li&gt;Wingspan: 76 in &lt;/li&gt;
    &lt;li&gt;Ape: +2 &lt;/li&gt;
    &lt;li&gt;+: floor general, shooting &lt;/li&gt;
    &lt;li&gt;-: size, athleticism, shot selection &lt;/li&gt;
  &lt;/ul&gt;
  &lt;br&gt;  &lt;li&gt;&lt;b&gt;&lt;a 
    target='_blank' 
    href='https://www.nba.com/draft/2020/prospects/jordan-nwora#/'&gt;Jordan Nwora&lt;/a&gt;&lt;/b&gt; - &lt;i&gt;SF -
    &lt;a target='_blank'
    href='https://www.sports-reference.com/cbb/players/jordan-nwora-1.html'&gt;Louisville&lt;/a&gt;&lt;/b&gt; &lt;/i&gt;&lt;/li&gt;
  &lt;ul style='list-style-type:none'&gt;
    &lt;li&gt;Grade: Junior &lt;/li&gt;
    &lt;li&gt;Age: 22.2 &lt;/li&gt;
    &lt;li&gt;Height: 80 in &lt;/li&gt;
    &lt;li&gt;Weight: 225 lbs &lt;/li&gt;
    &lt;li&gt;Wingspan: 82.5 in &lt;/li&gt;
    &lt;li&gt;Ape: +2.5 &lt;/li&gt;
    &lt;li&gt;+: shooting &lt;/li&gt;
    &lt;li&gt;-: age, playmaking, defense &lt;/li&gt;
  &lt;/ul&gt;
  &lt;br&gt;  &lt;li&gt;&lt;b&gt;&lt;a 
    target='_blank' 
    href='https://www.nba.com/draft/2020/prospects/yam-madar#/'&gt;Yam Madar&lt;/a&gt;&lt;/b&gt; - &lt;i&gt;PG -
    &lt;a target='_blank'
    href='https://www.basketball-reference.com/international/players/yam-madar-1.html'&gt;Hapoel Tel Aviv (Israel)&lt;/a&gt;&lt;/b&gt; &lt;/i&gt;&lt;/li&gt;
  &lt;ul style='list-style-type:none'&gt;
    &lt;li&gt;Age: 19.9 &lt;/li&gt;
    &lt;li&gt;Height: 75 in &lt;/li&gt;
    &lt;li&gt;Weight: 180 lbs &lt;/li&gt;
    &lt;li&gt;+: playmaking, basketball IQ &lt;/li&gt;
    &lt;li&gt;-: size, shooting &lt;/li&gt;
  &lt;/ul&gt;
  &lt;br&gt;  &lt;li&gt;&lt;b&gt;&lt;a 
    target='_blank' 
    href='https://www.nba.com/draft/2020/prospects/udoka-azubuike#/'&gt;Udoka Azubuike&lt;/a&gt;&lt;/b&gt; - &lt;i&gt;C -
    &lt;a target='_blank'
    href='https://www.sports-reference.com/cbb/players/udoka-azubuike-1.html'&gt;Kansas&lt;/a&gt;&lt;/b&gt; &lt;/i&gt;&lt;/li&gt;
  &lt;ul style='list-style-type:none'&gt;
    &lt;li&gt;Grade: Senior &lt;/li&gt;
    &lt;li&gt;Age: 21.2 &lt;/li&gt;
    &lt;li&gt;Height: 84 in &lt;/li&gt;
    &lt;li&gt;Weight: 270 lbs &lt;/li&gt;
    &lt;li&gt;Wingspan: 91 in &lt;/li&gt;
    &lt;li&gt;Ape: +7 &lt;/li&gt;
    &lt;li&gt;++: age, wingspan, frame &lt;/li&gt;
    &lt;li&gt;+: interior defense, athleticism &lt;/li&gt;
    &lt;li&gt;-: offense, defensive versatility &lt;/li&gt;
  &lt;/ul&gt;
  &lt;br&gt;
  &lt;/ol&gt;
  &lt;h2&gt; Tier 8 (~40 FV)&lt;/h2&gt;
  &lt;ol start='48 '&gt;
    &lt;li&gt;&lt;b&gt;&lt;a 
    target='_blank' 
    href='https://www.nba.com/draft/2020/prospects/elijah-hughes#/'&gt;Elijah Hughes&lt;/a&gt;&lt;/b&gt; - &lt;i&gt;SG -
    &lt;a target='_blank'
    href='https://www.sports-reference.com/cbb/players/elijah-hughes-1.html'&gt;Syracuse&lt;/a&gt;&lt;/b&gt; &lt;/i&gt;&lt;/li&gt;
  &lt;ul style='list-style-type:none'&gt;
    &lt;li&gt;Grade: Junior &lt;/li&gt;
    &lt;li&gt;Age: 22.7 &lt;/li&gt;
    &lt;li&gt;Height: 78 in &lt;/li&gt;
    &lt;li&gt;Weight: 215 lbs &lt;/li&gt;
    &lt;li&gt;+: scoring &lt;/li&gt;
    &lt;li&gt;-: athleticism, role &lt;/li&gt;
  &lt;/ul&gt;
  &lt;br&gt;  &lt;li&gt;&lt;b&gt;&lt;a 
    target='_blank' 
    href='https://www.nba.com/draft/2020/prospects/daniel-oturu#/'&gt;Daniel Oturu&lt;/a&gt;&lt;/b&gt; - &lt;i&gt;PF -
    &lt;a target='_blank'
    href='https://www.sports-reference.com/cbb/players/daniel-oturu-1.html'&gt;Minnesota&lt;/a&gt;&lt;/b&gt; &lt;/i&gt;&lt;/li&gt;
  &lt;ul style='list-style-type:none'&gt;
    &lt;li&gt;Grade: Sophomore &lt;/li&gt;
    &lt;li&gt;Age: 21.2 &lt;/li&gt;
    &lt;li&gt;Height: 82 in &lt;/li&gt;
    &lt;li&gt;Weight: 240 lbs &lt;/li&gt;
    &lt;li&gt;Wingspan: 86 in &lt;/li&gt;
    &lt;li&gt;Ape: +4 &lt;/li&gt;
    &lt;li&gt;+: interior offense, interior defense &lt;/li&gt;
    &lt;li&gt;-: age, role &lt;/li&gt;
  &lt;/ul&gt;
  &lt;br&gt;  &lt;li&gt;&lt;b&gt;&lt;a 
    target='_blank' 
    href='https://www.nba.com/draft/2020/prospects/cassius-stanley#/'&gt;Cassius Stanley&lt;/a&gt;&lt;/b&gt; - &lt;i&gt;SG -
    &lt;a target='_blank'
    href='https://www.sports-reference.com/cbb/players/cassius-stanley-1.html'&gt;Duke&lt;/a&gt;&lt;/b&gt; &lt;/i&gt;&lt;/li&gt;
  &lt;ul style='list-style-type:none'&gt;
    &lt;li&gt;Grade: Freshman &lt;/li&gt;
    &lt;li&gt;Age: 21.3 &lt;/li&gt;
    &lt;li&gt;Height: 78 in &lt;/li&gt;
    &lt;li&gt;Weight: 193 lbs &lt;/li&gt;
    &lt;li&gt;Wingspan: 79 in &lt;/li&gt;
    &lt;li&gt;Ape: +1 &lt;/li&gt;
    &lt;li&gt;++: athleticism &lt;/li&gt;
    &lt;li&gt;-: wingspan, decision making &lt;/li&gt;
    &lt;li&gt;--: age &lt;/li&gt;
  &lt;/ul&gt;
  &lt;br&gt;  &lt;li&gt;&lt;b&gt;&lt;a 
    target='_blank' 
    href='https://www.nba.com/draft/2020/prospects/jalen-harris#/'&gt;Jalen Harris&lt;/a&gt;&lt;/b&gt; - &lt;i&gt;SG -
    &lt;a target='_blank'
    href='https://www.sports-reference.com/cbb/players/jalen-harris-2.html'&gt;Nevada&lt;/a&gt;&lt;/b&gt; &lt;/i&gt;&lt;/li&gt;
  &lt;ul style='list-style-type:none'&gt;
    &lt;li&gt;Grade: Junior &lt;/li&gt;
    &lt;li&gt;Age: 22.3 &lt;/li&gt;
    &lt;li&gt;Height: 77 in &lt;/li&gt;
    &lt;li&gt;Weight: 195 lbs &lt;/li&gt;
    &lt;li&gt;+: shooting &lt;/li&gt;
    &lt;li&gt;-: age, defense &lt;/li&gt;
  &lt;/ul&gt;
  &lt;br&gt;  &lt;li&gt;&lt;b&gt;&lt;a 
    target='_blank' 
    href='https://www.nba.com/draft/2020/prospects/tyler-bey#/'&gt;Tyler Bey&lt;/a&gt;&lt;/b&gt; - &lt;i&gt;PF -
    &lt;a target='_blank'
    href='https://www.sports-reference.com/cbb/players/tyler-bey-1.html'&gt;Colorado&lt;/a&gt;&lt;/b&gt; &lt;/i&gt;&lt;/li&gt;
  &lt;ul style='list-style-type:none'&gt;
    &lt;li&gt;Grade: Junior &lt;/li&gt;
    &lt;li&gt;Age: 22.8 &lt;/li&gt;
    &lt;li&gt;Height: 79 in &lt;/li&gt;
    &lt;li&gt;Weight: 216 lbs &lt;/li&gt;
    &lt;li&gt;Wingspan: 85 in &lt;/li&gt;
    &lt;li&gt;Ape: +6 &lt;/li&gt;
    &lt;li&gt;++: wingspan &lt;/li&gt;
    &lt;li&gt;+: defense &lt;/li&gt;
    &lt;li&gt;-: interior offense &lt;/li&gt;
    &lt;li&gt;--: age &lt;/li&gt;
  &lt;/ul&gt;
  &lt;br&gt;  &lt;li&gt;&lt;b&gt;&lt;a 
    target='_blank' 
    href='https://www.nba.com/draft/2020/prospects/trevelin-queen#/'&gt;Trevelin Queen&lt;/a&gt;&lt;/b&gt; - &lt;i&gt;SG -
    &lt;a target='_blank'
    href='https://www.sports-reference.com/cbb/players/trevelin-queen-1.html'&gt;New Mexico State&lt;/a&gt;&lt;/b&gt; &lt;/i&gt;&lt;/li&gt;
  &lt;ul style='list-style-type:none'&gt;
    &lt;li&gt;Grade: Senior &lt;/li&gt;
    &lt;li&gt;Age: 23.7 &lt;/li&gt;
    &lt;li&gt;Height: 78 in &lt;/li&gt;
    &lt;li&gt;Weight: 190 lbs &lt;/li&gt;
    &lt;li&gt;Wingspan: 80 in &lt;/li&gt;
    &lt;li&gt;Ape: +2 &lt;/li&gt;
    &lt;li&gt;+: shooting, defense &lt;/li&gt;
    &lt;li&gt;-: playmaking, shot creation, age &lt;/li&gt;
  &lt;/ul&gt;
  &lt;br&gt;  &lt;li&gt;&lt;b&gt;&lt;a 
    target='_blank' 
    href='https://www.nba.com/draft/2020/prospects/ty-shon-alexander#/'&gt;Ty-Shon Alexander&lt;/a&gt;&lt;/b&gt; - &lt;i&gt;SG -
    &lt;a target='_blank'
    href='https://www.sports-reference.com/cbb/players/ty-shon-alexander-1.html'&gt;Creighton&lt;/a&gt;&lt;/b&gt; &lt;/i&gt;&lt;/li&gt;
  &lt;ul style='list-style-type:none'&gt;
    &lt;li&gt;Grade: Junior &lt;/li&gt;
    &lt;li&gt;Age: 22.3 &lt;/li&gt;
    &lt;li&gt;Height: 76 in &lt;/li&gt;
    &lt;li&gt;Weight: 195 lbs &lt;/li&gt;
    &lt;li&gt;+: shooting, defense &lt;/li&gt;
    &lt;li&gt;-: age, frame &lt;/li&gt;
  &lt;/ul&gt;
  &lt;br&gt;  &lt;li&gt;&lt;b&gt;&lt;a 
    target='_blank' 
    href='https://www.nba.com/draft/2020/prospects/immanuel-quickley#/'&gt;Immanuel Quickley&lt;/a&gt;&lt;/b&gt; - &lt;i&gt;SG -
    &lt;a target='_blank'
    href='https://www.sports-reference.com/cbb/players/immanuel-quickley-1.html'&gt;Kentucky&lt;/a&gt;&lt;/b&gt; &lt;/i&gt;&lt;/li&gt;
  &lt;ul style='list-style-type:none'&gt;
    &lt;li&gt;Grade: Sophomore &lt;/li&gt;
    &lt;li&gt;Age: 21.4 &lt;/li&gt;
    &lt;li&gt;Height: 75 in &lt;/li&gt;
    &lt;li&gt;Weight: 188 lbs &lt;/li&gt;
    &lt;li&gt;Wingspan: 82 in &lt;/li&gt;
    &lt;li&gt;Ape: +7 &lt;/li&gt;
    &lt;li&gt;++: wingspan, shooting &lt;/li&gt;
    &lt;li&gt;+: defense &lt;/li&gt;
    &lt;li&gt;-: age, playmaking, finishing &lt;/li&gt;
  &lt;/ul&gt;
  &lt;br&gt;</v>
      </c>
    </row>
    <row r="57" spans="1:33">
      <c r="A57" t="s">
        <v>437</v>
      </c>
      <c r="C57" s="3" t="str">
        <f>IFERROR(INDEX(actual!A:A,MATCH(A57,actual!B:B,FALSE)), "")</f>
        <v/>
      </c>
      <c r="D57" s="3" t="str">
        <f>IFERROR(INDEX(actual!C:C,MATCH(A57,actual!B:B,FALSE)), "")</f>
        <v/>
      </c>
      <c r="S57" s="3" t="s">
        <v>434</v>
      </c>
      <c r="T57" s="3">
        <v>9</v>
      </c>
    </row>
    <row r="58" spans="1:33">
      <c r="A58" t="s">
        <v>438</v>
      </c>
      <c r="C58" s="3" t="str">
        <f>IFERROR(INDEX(actual!A:A,MATCH(A58,actual!B:B,FALSE)), "")</f>
        <v/>
      </c>
      <c r="D58" s="3" t="str">
        <f>IFERROR(INDEX(actual!C:C,MATCH(A58,actual!B:B,FALSE)), "")</f>
        <v/>
      </c>
      <c r="S58" s="3" t="s">
        <v>434</v>
      </c>
      <c r="T58" s="3">
        <v>9</v>
      </c>
    </row>
    <row r="59" spans="1:33">
      <c r="A59" t="s">
        <v>439</v>
      </c>
      <c r="C59" s="3">
        <f>IFERROR(INDEX(actual!A:A,MATCH(A59,actual!B:B,FALSE)), "")</f>
        <v>46</v>
      </c>
      <c r="D59" s="3" t="str">
        <f>IFERROR(INDEX(actual!C:C,MATCH(A59,actual!B:B,FALSE)), "")</f>
        <v>POR</v>
      </c>
      <c r="S59" s="3" t="s">
        <v>434</v>
      </c>
      <c r="T59" s="3">
        <v>9</v>
      </c>
    </row>
    <row r="60" spans="1:33">
      <c r="A60" t="s">
        <v>440</v>
      </c>
      <c r="C60" s="3" t="str">
        <f>IFERROR(INDEX(actual!A:A,MATCH(A60,actual!B:B,FALSE)), "")</f>
        <v/>
      </c>
      <c r="D60" s="3" t="str">
        <f>IFERROR(INDEX(actual!C:C,MATCH(A60,actual!B:B,FALSE)), "")</f>
        <v/>
      </c>
      <c r="S60" s="3" t="s">
        <v>434</v>
      </c>
      <c r="T60" s="3">
        <v>9</v>
      </c>
    </row>
    <row r="61" spans="1:33">
      <c r="A61" t="s">
        <v>441</v>
      </c>
      <c r="C61" s="3" t="str">
        <f>IFERROR(INDEX(actual!A:A,MATCH(A61,actual!B:B,FALSE)), "")</f>
        <v/>
      </c>
      <c r="D61" s="3" t="str">
        <f>IFERROR(INDEX(actual!C:C,MATCH(A61,actual!B:B,FALSE)), "")</f>
        <v/>
      </c>
      <c r="S61" s="3" t="s">
        <v>434</v>
      </c>
      <c r="T61" s="3">
        <v>9</v>
      </c>
    </row>
    <row r="62" spans="1:33">
      <c r="A62" t="s">
        <v>442</v>
      </c>
      <c r="C62" s="3" t="str">
        <f>IFERROR(INDEX(actual!A:A,MATCH(A62,actual!B:B,FALSE)), "")</f>
        <v/>
      </c>
      <c r="D62" s="3" t="str">
        <f>IFERROR(INDEX(actual!C:C,MATCH(A62,actual!B:B,FALSE)), "")</f>
        <v/>
      </c>
      <c r="S62" s="3" t="s">
        <v>434</v>
      </c>
      <c r="T62" s="3">
        <v>9</v>
      </c>
    </row>
    <row r="63" spans="1:33">
      <c r="A63" t="s">
        <v>443</v>
      </c>
      <c r="C63" s="3" t="str">
        <f>IFERROR(INDEX(actual!A:A,MATCH(A63,actual!B:B,FALSE)), "")</f>
        <v/>
      </c>
      <c r="D63" s="3" t="str">
        <f>IFERROR(INDEX(actual!C:C,MATCH(A63,actual!B:B,FALSE)), "")</f>
        <v/>
      </c>
      <c r="S63" s="3" t="s">
        <v>434</v>
      </c>
      <c r="T63" s="3">
        <v>9</v>
      </c>
    </row>
    <row r="64" spans="1:33">
      <c r="A64" t="s">
        <v>432</v>
      </c>
      <c r="C64" s="3">
        <f>IFERROR(INDEX(actual!A:A,MATCH(A64,actual!B:B,FALSE)), "")</f>
        <v>51</v>
      </c>
      <c r="D64" s="3" t="str">
        <f>IFERROR(INDEX(actual!C:C,MATCH(A64,actual!B:B,FALSE)), "")</f>
        <v>GSW</v>
      </c>
      <c r="S64" s="3" t="s">
        <v>434</v>
      </c>
      <c r="T64" s="3">
        <v>9</v>
      </c>
    </row>
    <row r="65" spans="1:20">
      <c r="A65" t="s">
        <v>444</v>
      </c>
      <c r="C65" s="3" t="str">
        <f>IFERROR(INDEX(actual!A:A,MATCH(A65,actual!B:B,FALSE)), "")</f>
        <v/>
      </c>
      <c r="D65" s="3" t="str">
        <f>IFERROR(INDEX(actual!C:C,MATCH(A65,actual!B:B,FALSE)), "")</f>
        <v/>
      </c>
      <c r="S65" s="3" t="s">
        <v>434</v>
      </c>
      <c r="T65" s="3">
        <v>9</v>
      </c>
    </row>
    <row r="66" spans="1:20">
      <c r="A66" t="s">
        <v>427</v>
      </c>
      <c r="C66" s="3">
        <f>IFERROR(INDEX(actual!A:A,MATCH(A66,actual!B:B,FALSE)), "")</f>
        <v>38</v>
      </c>
      <c r="D66" s="3" t="str">
        <f>IFERROR(INDEX(actual!C:C,MATCH(A66,actual!B:B,FALSE)), "")</f>
        <v>DET</v>
      </c>
      <c r="S66" s="3" t="s">
        <v>434</v>
      </c>
      <c r="T66" s="3">
        <v>9</v>
      </c>
    </row>
    <row r="67" spans="1:20">
      <c r="A67" t="s">
        <v>433</v>
      </c>
      <c r="C67" s="3">
        <f>IFERROR(INDEX(actual!A:A,MATCH(A67,actual!B:B,FALSE)), "")</f>
        <v>52</v>
      </c>
      <c r="D67" s="3" t="str">
        <f>IFERROR(INDEX(actual!C:C,MATCH(A67,actual!B:B,FALSE)), "")</f>
        <v>SAC</v>
      </c>
      <c r="S67" s="3" t="s">
        <v>434</v>
      </c>
      <c r="T67" s="3">
        <v>9</v>
      </c>
    </row>
    <row r="68" spans="1:20">
      <c r="A68" t="s">
        <v>445</v>
      </c>
      <c r="C68" s="3">
        <f>IFERROR(INDEX(actual!A:A,MATCH(A68,actual!B:B,FALSE)), "")</f>
        <v>60</v>
      </c>
      <c r="D68" s="3" t="str">
        <f>IFERROR(INDEX(actual!C:C,MATCH(A68,actual!B:B,FALSE)), "")</f>
        <v>MIL</v>
      </c>
      <c r="S68" s="3" t="s">
        <v>434</v>
      </c>
      <c r="T68" s="3">
        <v>9</v>
      </c>
    </row>
    <row r="69" spans="1:20">
      <c r="A69" t="s">
        <v>446</v>
      </c>
      <c r="C69" s="3" t="str">
        <f>IFERROR(INDEX(actual!A:A,MATCH(A69,actual!B:B,FALSE)), "")</f>
        <v/>
      </c>
      <c r="D69" s="3" t="str">
        <f>IFERROR(INDEX(actual!C:C,MATCH(A69,actual!B:B,FALSE)), "")</f>
        <v/>
      </c>
      <c r="S69" s="3" t="s">
        <v>434</v>
      </c>
      <c r="T69" s="3">
        <v>9</v>
      </c>
    </row>
    <row r="70" spans="1:20">
      <c r="A70" t="s">
        <v>447</v>
      </c>
      <c r="C70" s="3" t="str">
        <f>IFERROR(INDEX(actual!A:A,MATCH(A70,actual!B:B,FALSE)), "")</f>
        <v/>
      </c>
      <c r="D70" s="3" t="str">
        <f>IFERROR(INDEX(actual!C:C,MATCH(A70,actual!B:B,FALSE)), "")</f>
        <v/>
      </c>
      <c r="S70" s="3" t="s">
        <v>434</v>
      </c>
      <c r="T70" s="3">
        <v>9</v>
      </c>
    </row>
    <row r="71" spans="1:20">
      <c r="A71" t="s">
        <v>448</v>
      </c>
      <c r="C71" s="3">
        <f>IFERROR(INDEX(actual!A:A,MATCH(A71,actual!B:B,FALSE)), "")</f>
        <v>55</v>
      </c>
      <c r="D71" s="3" t="str">
        <f>IFERROR(INDEX(actual!C:C,MATCH(A71,actual!B:B,FALSE)), "")</f>
        <v>BRK</v>
      </c>
      <c r="S71" s="3" t="s">
        <v>434</v>
      </c>
      <c r="T71" s="3">
        <v>9</v>
      </c>
    </row>
    <row r="72" spans="1:20">
      <c r="A72" t="s">
        <v>449</v>
      </c>
      <c r="C72" s="3" t="str">
        <f>IFERROR(INDEX(actual!A:A,MATCH(A72,actual!B:B,FALSE)), "")</f>
        <v/>
      </c>
      <c r="D72" s="3" t="str">
        <f>IFERROR(INDEX(actual!C:C,MATCH(A72,actual!B:B,FALSE)), "")</f>
        <v/>
      </c>
      <c r="S72" s="3" t="s">
        <v>434</v>
      </c>
      <c r="T72" s="3">
        <v>9</v>
      </c>
    </row>
    <row r="73" spans="1:20">
      <c r="A73" t="s">
        <v>450</v>
      </c>
      <c r="C73" s="3" t="str">
        <f>IFERROR(INDEX(actual!A:A,MATCH(A73,actual!B:B,FALSE)), "")</f>
        <v/>
      </c>
      <c r="D73" s="3" t="str">
        <f>IFERROR(INDEX(actual!C:C,MATCH(A73,actual!B:B,FALSE)), "")</f>
        <v/>
      </c>
      <c r="S73" s="3" t="s">
        <v>434</v>
      </c>
      <c r="T73" s="3">
        <v>9</v>
      </c>
    </row>
    <row r="74" spans="1:20">
      <c r="A74" t="s">
        <v>426</v>
      </c>
      <c r="C74" s="3">
        <f>IFERROR(INDEX(actual!A:A,MATCH(A74,actual!B:B,FALSE)), "")</f>
        <v>37</v>
      </c>
      <c r="D74" s="3" t="str">
        <f>IFERROR(INDEX(actual!C:C,MATCH(A74,actual!B:B,FALSE)), "")</f>
        <v>OKC</v>
      </c>
      <c r="S74" s="3" t="s">
        <v>56</v>
      </c>
      <c r="T74" s="3">
        <v>10</v>
      </c>
    </row>
    <row r="75" spans="1:20">
      <c r="A75" t="s">
        <v>428</v>
      </c>
      <c r="C75" s="3">
        <f>IFERROR(INDEX(actual!A:A,MATCH(A75,actual!B:B,FALSE)), "")</f>
        <v>42</v>
      </c>
      <c r="D75" s="3" t="str">
        <f>IFERROR(INDEX(actual!C:C,MATCH(A75,actual!B:B,FALSE)), "")</f>
        <v>NOP</v>
      </c>
      <c r="S75" s="3" t="s">
        <v>56</v>
      </c>
      <c r="T75" s="3">
        <v>10</v>
      </c>
    </row>
    <row r="76" spans="1:20">
      <c r="A76" t="s">
        <v>429</v>
      </c>
      <c r="C76" s="3">
        <f>IFERROR(INDEX(actual!A:A,MATCH(A76,actual!B:B,FALSE)), "")</f>
        <v>44</v>
      </c>
      <c r="D76" s="3" t="str">
        <f>IFERROR(INDEX(actual!C:C,MATCH(A76,actual!B:B,FALSE)), "")</f>
        <v>CHI</v>
      </c>
      <c r="S76" s="3" t="s">
        <v>56</v>
      </c>
      <c r="T76" s="3">
        <v>10</v>
      </c>
    </row>
  </sheetData>
  <autoFilter ref="A1:AF76" xr:uid="{00000000-0009-0000-0000-000000000000}">
    <sortState ref="A2:AF56">
      <sortCondition ref="S1:S56"/>
    </sortState>
  </autoFilter>
  <sortState ref="A48:AG55">
    <sortCondition ref="A47"/>
  </sortState>
  <phoneticPr fontId="2" type="noConversion"/>
  <hyperlinks>
    <hyperlink ref="U8" r:id="rId1" xr:uid="{3B206C32-5E4E-3A4F-921F-6AAF1610C239}"/>
    <hyperlink ref="V4" r:id="rId2" location="/" xr:uid="{0E735FF1-4031-2048-A280-B3748177ABF0}"/>
    <hyperlink ref="V7" r:id="rId3" location="/" xr:uid="{F9F7BA9C-1995-464E-B46E-4EEA243EFDA4}"/>
    <hyperlink ref="V15" r:id="rId4" location="/" xr:uid="{A4F1FC80-BF37-4A43-AD6C-9056BB898FBC}"/>
    <hyperlink ref="V13" r:id="rId5" location="/" xr:uid="{259D2643-7BA4-D549-A410-C9C76E1728DD}"/>
    <hyperlink ref="V10" r:id="rId6" location="/" xr:uid="{25CD1A4E-B95D-B54C-8332-C619C113A391}"/>
    <hyperlink ref="V12" r:id="rId7" location="/" xr:uid="{5E0EB23F-56DA-AA4B-A985-37AC021D02D1}"/>
    <hyperlink ref="V21" r:id="rId8" location="/" xr:uid="{8DDDEED7-FD11-EC46-A72B-00DFAD497746}"/>
    <hyperlink ref="V14" r:id="rId9" location="/" xr:uid="{4ACBAD11-2819-AB4A-9D0E-C7DBE4DD1BE3}"/>
    <hyperlink ref="V20" r:id="rId10" location="/" xr:uid="{918470CE-CA3C-BF49-A6F0-0B913E333B53}"/>
    <hyperlink ref="V17" r:id="rId11" location="/" xr:uid="{07DCACD2-3D30-4546-B902-FA42D0168751}"/>
    <hyperlink ref="U44" r:id="rId12" xr:uid="{FA2DD7C1-27B0-5B47-93DB-BEE204158223}"/>
    <hyperlink ref="U52" r:id="rId13" xr:uid="{464D4D17-8239-724A-ACE6-7987C53CE59F}"/>
    <hyperlink ref="U46" r:id="rId14" xr:uid="{05A4E460-1C80-9B43-BA4B-3BA26778213D}"/>
    <hyperlink ref="U39" r:id="rId15" xr:uid="{CB181871-3905-634A-A3DB-CA226FAF7C56}"/>
    <hyperlink ref="V8" r:id="rId16" location="/" xr:uid="{A057066C-CBED-F940-9924-7D8A7122D445}"/>
    <hyperlink ref="V3" r:id="rId17" location="/" xr:uid="{2E5406AE-11B0-7B46-9363-226C2D55857B}"/>
    <hyperlink ref="V2" r:id="rId18" location="/" xr:uid="{D7616B32-D5DE-6548-AEE0-CB902C0D260E}"/>
    <hyperlink ref="V5" r:id="rId19" location="/" xr:uid="{9F164AE8-9CC9-B141-9E9E-A234145DBE99}"/>
    <hyperlink ref="V11" r:id="rId20" location="/" xr:uid="{47D2C172-FC15-5840-96E9-37146A7D22C7}"/>
    <hyperlink ref="V9" r:id="rId21" location="/" xr:uid="{5E3BB760-BE57-E343-9E54-6A2A3D6C1EBD}"/>
    <hyperlink ref="V19" r:id="rId22" location="/" xr:uid="{7E05F881-BECA-7B44-8423-AB4E8F57C3B5}"/>
    <hyperlink ref="V6" r:id="rId23" location="/" xr:uid="{165406CB-A620-4247-8FC4-1C83892D7B58}"/>
    <hyperlink ref="V18" r:id="rId24" location="/" xr:uid="{6EE255AF-8A0F-8444-9D74-9D65E65C2546}"/>
    <hyperlink ref="V27" r:id="rId25" location="/" xr:uid="{986EE9BE-094D-CB44-8480-2299430EE2B6}"/>
    <hyperlink ref="V22" r:id="rId26" location="/" xr:uid="{FF54BB16-8BA9-2B45-9E8B-217B126A4F1C}"/>
    <hyperlink ref="V30" r:id="rId27" location="/" xr:uid="{F933FA06-2D50-6D4C-8F76-741B52DC9154}"/>
    <hyperlink ref="V32" r:id="rId28" location="/" xr:uid="{BFC2C500-0991-6E4D-BC63-6527BE523152}"/>
    <hyperlink ref="V34" r:id="rId29" location="/" xr:uid="{56A5592F-6537-4F4B-9AC2-E69873DA3EDC}"/>
    <hyperlink ref="V16" r:id="rId30" location="/" xr:uid="{7391ECAA-BDBD-2246-A2D6-74688206DE86}"/>
    <hyperlink ref="V24" r:id="rId31" location="/" xr:uid="{7D920AC0-E2FC-2F4A-A05C-3B452525A030}"/>
    <hyperlink ref="V35" r:id="rId32" location="/" xr:uid="{53ABB41F-40ED-7243-998B-15C797517D14}"/>
    <hyperlink ref="V36" r:id="rId33" location="/" xr:uid="{0CBDFD3A-CF11-0243-BBCA-61F9D7434888}"/>
    <hyperlink ref="V41" r:id="rId34" location="/" xr:uid="{8BB8CE3B-AC87-564D-A1CA-F83BF0067779}"/>
    <hyperlink ref="V23" r:id="rId35" location="/" xr:uid="{29552EC5-3614-3643-8E9E-A8B15814B4AE}"/>
    <hyperlink ref="V55" r:id="rId36" location="/" xr:uid="{B281892B-4C87-7846-B380-C418EC5FCBDE}"/>
    <hyperlink ref="V43" r:id="rId37" location="/" xr:uid="{C229AA9D-B501-3147-8140-A6BFA41FD5F2}"/>
    <hyperlink ref="V25" r:id="rId38" location="/" xr:uid="{C4DEBA55-E2AF-6745-B719-197EC43A3A09}"/>
    <hyperlink ref="V31" r:id="rId39" location="/" xr:uid="{6CC87590-FFEC-044B-838E-6D5AA6E1AB6F}"/>
    <hyperlink ref="V53" r:id="rId40" location="/" xr:uid="{B8FD701B-B4D6-C14C-9381-1EA7A1575777}"/>
    <hyperlink ref="V26" r:id="rId41" location="/" xr:uid="{160A2A20-D6AA-8747-A963-8353955BE168}"/>
    <hyperlink ref="V49" r:id="rId42" location="/" xr:uid="{1F0DB198-33BA-D94A-A5EC-D4F017EFCBA2}"/>
    <hyperlink ref="V28" r:id="rId43" location="/" xr:uid="{834D66C3-456E-6149-B256-08592EB8D3F2}"/>
    <hyperlink ref="V47" r:id="rId44" location="/" xr:uid="{95CEB663-E6E9-2E49-B948-E221AB08A8DA}"/>
    <hyperlink ref="V42" r:id="rId45" location="/" xr:uid="{B856F9F2-1910-2A4C-87C1-505207D7F371}"/>
    <hyperlink ref="V45" r:id="rId46" location="/" xr:uid="{D5246A40-85DE-EC4C-8B51-5BAC10A2ECB4}"/>
    <hyperlink ref="V33" r:id="rId47" location="/" xr:uid="{127A03B1-6081-8D4B-9AD9-08DA4D3A812C}"/>
    <hyperlink ref="V40" r:id="rId48" location="/" xr:uid="{198A2A00-3736-3349-8616-138E26F195C7}"/>
    <hyperlink ref="V38" r:id="rId49" location="/" xr:uid="{DD8A7B5B-A1EA-B945-9203-17F4D9343257}"/>
    <hyperlink ref="V56" r:id="rId50" location="/" xr:uid="{21D33E31-4A19-9A4D-9D10-7F0560C6CA5D}"/>
    <hyperlink ref="V51" r:id="rId51" location="/" xr:uid="{C4201629-1283-D44B-B96D-F9BD5C84F7E3}"/>
    <hyperlink ref="V50" r:id="rId52" location="/" xr:uid="{24B7229F-A0CD-DB4E-A639-28F281FF187C}"/>
    <hyperlink ref="V29" r:id="rId53" location="/" xr:uid="{E229F7C0-27E1-2F49-AC25-B9A239F6CC01}"/>
    <hyperlink ref="V48" r:id="rId54" location="/" xr:uid="{68FFF23B-E332-154D-B6E3-BD1288BB24BE}"/>
    <hyperlink ref="V44" r:id="rId55" location="/" xr:uid="{3EDD27A8-64FD-3542-AD6D-A9C587108C6A}"/>
    <hyperlink ref="V52" r:id="rId56" location="/" xr:uid="{7493A391-5B6E-8D41-8E28-80E76F4B089A}"/>
    <hyperlink ref="V46" r:id="rId57" location="/" xr:uid="{FCFAEC04-74A8-2A42-8AE0-60A2AB5AD6DE}"/>
    <hyperlink ref="V39" r:id="rId58" location="/" xr:uid="{B0F8BA0A-887F-BD47-B0C5-37B20530659E}"/>
    <hyperlink ref="U4" r:id="rId59" xr:uid="{7F8AF490-F065-EE4F-9B17-B27348765D30}"/>
    <hyperlink ref="U3" r:id="rId60" xr:uid="{0FC1C2D2-BE6D-6C43-9E48-E44057E5450B}"/>
    <hyperlink ref="U12" r:id="rId61" xr:uid="{B194792E-074A-0B41-ACB8-688F6104FA81}"/>
    <hyperlink ref="U2" r:id="rId62" xr:uid="{2F860618-C90D-0C48-920C-F6EDC0BBB10D}"/>
    <hyperlink ref="U5" r:id="rId63" xr:uid="{236ACC4A-90D1-4648-BB31-7301FD2D2591}"/>
    <hyperlink ref="U7" r:id="rId64" xr:uid="{9A465A42-7F1D-7F48-B111-7B11EE10D5C5}"/>
    <hyperlink ref="U15" r:id="rId65" xr:uid="{367278A6-4925-1242-B00B-2F0B64EE954F}"/>
    <hyperlink ref="U13" r:id="rId66" xr:uid="{D1148B69-5003-0443-998B-C1C546670D63}"/>
    <hyperlink ref="U10" r:id="rId67" xr:uid="{2ABDCDC8-D7F0-384D-B8BF-0A9D204045C8}"/>
    <hyperlink ref="U21" r:id="rId68" xr:uid="{1CD5ABD7-C33D-1544-BB76-89FDCB162AF2}"/>
    <hyperlink ref="U11" r:id="rId69" xr:uid="{43A60FCF-84A8-9E45-AE2F-D47A3A1416CD}"/>
    <hyperlink ref="U14" r:id="rId70" xr:uid="{513BEECB-64BF-7C4B-9206-BBA7A99BB0C6}"/>
    <hyperlink ref="U9" r:id="rId71" xr:uid="{0B873F3B-9C55-8743-AA5B-959DC5388426}"/>
    <hyperlink ref="U19" r:id="rId72" xr:uid="{D61E7C25-CF73-0849-80AB-C4DC7BBD8A30}"/>
    <hyperlink ref="U6" r:id="rId73" xr:uid="{C29FD544-AEC0-624D-A86F-C3CFD9B468D3}"/>
    <hyperlink ref="U20" r:id="rId74" xr:uid="{42B60994-551F-EF4F-8609-5D84492A5B22}"/>
    <hyperlink ref="U17" r:id="rId75" xr:uid="{13B83F5A-342F-D743-8170-CFE74320F05E}"/>
    <hyperlink ref="U18" r:id="rId76" xr:uid="{9671C41F-BC7D-B749-9F3D-29BD2D0972A0}"/>
    <hyperlink ref="U27" r:id="rId77" xr:uid="{1592B6AB-4C6F-9F45-B571-D0F006D8534C}"/>
    <hyperlink ref="U22" r:id="rId78" xr:uid="{EF5410E5-5887-1143-995F-D7CA1B013148}"/>
    <hyperlink ref="U30" r:id="rId79" xr:uid="{A41758DB-ECD3-0444-891C-79ADB2AD1737}"/>
    <hyperlink ref="U32" r:id="rId80" xr:uid="{9665848F-D9CA-AD4C-97DC-9293D93435D7}"/>
    <hyperlink ref="U34" r:id="rId81" xr:uid="{6EAF0128-12C7-DA49-9E3F-4F6017082D00}"/>
    <hyperlink ref="U16" r:id="rId82" xr:uid="{312DFF36-B365-614A-9D98-4D8523445180}"/>
    <hyperlink ref="U24" r:id="rId83" xr:uid="{E6F4185D-49A7-E64F-8C53-16F207F4DCC2}"/>
    <hyperlink ref="U35" r:id="rId84" xr:uid="{D1B13BF3-0A0D-A24C-85E0-18DA4AF2D0F4}"/>
    <hyperlink ref="U37" r:id="rId85" xr:uid="{F3123EFB-95EA-6F4E-9FB6-95F42DE60D7D}"/>
    <hyperlink ref="U36" r:id="rId86" xr:uid="{4E7E223F-D2C6-EA4B-9495-784627FAC8F2}"/>
    <hyperlink ref="U41" r:id="rId87" xr:uid="{B8FD11DB-E5FB-DA4B-A893-B1716A44549D}"/>
    <hyperlink ref="U23" r:id="rId88" xr:uid="{BBF3A89F-6BA8-5D4E-9A10-D621DA548CEC}"/>
    <hyperlink ref="U55" r:id="rId89" xr:uid="{E2F350D4-2F1D-1B46-9B73-33DB4DFFD0DC}"/>
    <hyperlink ref="U43" r:id="rId90" xr:uid="{A274E61C-1C4D-2343-9D54-3AB1049DAA70}"/>
    <hyperlink ref="U25" r:id="rId91" xr:uid="{91524032-F242-1D49-A71A-5CDC21E1CD54}"/>
    <hyperlink ref="U31" r:id="rId92" xr:uid="{DDAFBE82-4E7A-444B-91CD-1A5B08790033}"/>
    <hyperlink ref="U53" r:id="rId93" xr:uid="{02E934CB-76D3-9248-A6FB-26CE60AFF156}"/>
    <hyperlink ref="U26" r:id="rId94" xr:uid="{4398CDC8-1D61-504B-AD2D-FD542C394198}"/>
    <hyperlink ref="U49" r:id="rId95" xr:uid="{24A5112D-8DB6-4A4E-9374-3BE8797FA51F}"/>
    <hyperlink ref="U28" r:id="rId96" xr:uid="{3D8C6605-979B-2643-B146-D6829A943197}"/>
    <hyperlink ref="U47" r:id="rId97" xr:uid="{7D6EC995-32AE-E444-8B86-CC61D773AD00}"/>
    <hyperlink ref="U42" r:id="rId98" xr:uid="{36C25A29-0EC4-9042-8ED2-245E0288D4A4}"/>
    <hyperlink ref="U45" r:id="rId99" xr:uid="{19761B31-2A24-F241-8FEB-BA901B381CD9}"/>
    <hyperlink ref="U33" r:id="rId100" xr:uid="{E0E6792F-D7EA-104A-B41F-51614B2176E1}"/>
    <hyperlink ref="U40" r:id="rId101" xr:uid="{A2602333-4DCD-9C4B-9680-90D81B04B068}"/>
    <hyperlink ref="U38" r:id="rId102" xr:uid="{C8337781-1BAB-F747-9987-B34BE1A3A48C}"/>
    <hyperlink ref="U56" r:id="rId103" xr:uid="{7EE0C1BB-211B-8A4A-AB63-A2C94A6B7A58}"/>
    <hyperlink ref="U51" r:id="rId104" xr:uid="{CA54C7A1-2BF7-2445-8602-9C6449FF525E}"/>
    <hyperlink ref="U50" r:id="rId105" xr:uid="{83A779E2-4B04-DB4A-88D8-9C62B87851CA}"/>
    <hyperlink ref="U29" r:id="rId106" xr:uid="{E97D4C75-0DE9-DD40-AB48-D7809132BB7D}"/>
    <hyperlink ref="U48" r:id="rId107" xr:uid="{510F7E9B-F0D2-3A47-92FB-2BB5CA5B636D}"/>
    <hyperlink ref="U54" r:id="rId108" xr:uid="{634480EE-A35F-454F-9DDE-787A86BE8C13}"/>
    <hyperlink ref="V54" r:id="rId109" location="/" xr:uid="{23D5E149-C5DD-A140-A403-3E2E9A64BE33}"/>
  </hyperlinks>
  <pageMargins left="0.7" right="0.7" top="0.75" bottom="0.75" header="0.3" footer="0.3"/>
  <ignoredErrors>
    <ignoredError sqref="I1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E47C-51B0-A742-8364-F63AA51E72DA}">
  <dimension ref="A1:H61"/>
  <sheetViews>
    <sheetView tabSelected="1" workbookViewId="0">
      <pane ySplit="1" topLeftCell="A2" activePane="bottomLeft" state="frozen"/>
      <selection pane="bottomLeft" activeCell="P13" sqref="P13"/>
    </sheetView>
  </sheetViews>
  <sheetFormatPr baseColWidth="10" defaultRowHeight="16"/>
  <cols>
    <col min="1" max="1" width="6.83203125" bestFit="1" customWidth="1"/>
    <col min="2" max="2" width="17" bestFit="1" customWidth="1"/>
    <col min="3" max="3" width="8.33203125" bestFit="1" customWidth="1"/>
    <col min="4" max="4" width="6.5" bestFit="1" customWidth="1"/>
    <col min="5" max="5" width="8.5" bestFit="1" customWidth="1"/>
    <col min="6" max="6" width="6.83203125" bestFit="1" customWidth="1"/>
    <col min="7" max="7" width="8.33203125" bestFit="1" customWidth="1"/>
    <col min="8" max="8" width="10.83203125" style="14"/>
  </cols>
  <sheetData>
    <row r="1" spans="1:8">
      <c r="A1" t="s">
        <v>395</v>
      </c>
      <c r="B1" t="s">
        <v>396</v>
      </c>
      <c r="C1" t="s">
        <v>397</v>
      </c>
      <c r="D1" t="s">
        <v>402</v>
      </c>
      <c r="E1" t="s">
        <v>398</v>
      </c>
      <c r="F1" t="s">
        <v>399</v>
      </c>
      <c r="G1" t="s">
        <v>400</v>
      </c>
      <c r="H1" s="14" t="s">
        <v>453</v>
      </c>
    </row>
    <row r="2" spans="1:8">
      <c r="A2">
        <v>1</v>
      </c>
      <c r="B2" t="s">
        <v>67</v>
      </c>
      <c r="C2" t="s">
        <v>401</v>
      </c>
      <c r="D2" t="str">
        <f>IF(OR(E2="HM", E2="-"),"", IFERROR(VLOOKUP($B2,board!$A:$T,2,FALSE), ""))</f>
        <v>SG</v>
      </c>
      <c r="E2">
        <f>IFERROR(VLOOKUP($B2,board!$A:$T,19,FALSE), "")</f>
        <v>3</v>
      </c>
      <c r="F2">
        <f>IFERROR(VLOOKUP($B2,board!$A:$T,20,FALSE), "")</f>
        <v>1</v>
      </c>
      <c r="G2">
        <f t="shared" ref="G2:G33" si="0">IFERROR(A2-E2, "")</f>
        <v>-2</v>
      </c>
      <c r="H2" s="14">
        <f t="shared" ref="H2:H33" si="1">IFERROR((A2-E2+0.5)/(A2+0.5), "")</f>
        <v>-1</v>
      </c>
    </row>
    <row r="3" spans="1:8">
      <c r="A3">
        <v>2</v>
      </c>
      <c r="B3" t="s">
        <v>78</v>
      </c>
      <c r="C3" t="s">
        <v>403</v>
      </c>
      <c r="D3" t="str">
        <f>IF(OR(E3="HM", E3="-"),"", IFERROR(VLOOKUP($B3,board!$A:$T,2,FALSE), ""))</f>
        <v>C</v>
      </c>
      <c r="E3">
        <f>IFERROR(VLOOKUP($B3,board!$A:$T,19,FALSE), "")</f>
        <v>4</v>
      </c>
      <c r="F3">
        <f>IFERROR(VLOOKUP($B3,board!$A:$T,20,FALSE), "")</f>
        <v>1</v>
      </c>
      <c r="G3">
        <f t="shared" si="0"/>
        <v>-2</v>
      </c>
      <c r="H3" s="14">
        <f t="shared" si="1"/>
        <v>-0.6</v>
      </c>
    </row>
    <row r="4" spans="1:8">
      <c r="A4">
        <v>3</v>
      </c>
      <c r="B4" t="s">
        <v>70</v>
      </c>
      <c r="C4" t="s">
        <v>404</v>
      </c>
      <c r="D4" t="str">
        <f>IF(OR(E4="HM", E4="-"),"", IFERROR(VLOOKUP($B4,board!$A:$T,2,FALSE), ""))</f>
        <v>PG</v>
      </c>
      <c r="E4">
        <f>IFERROR(VLOOKUP($B4,board!$A:$T,19,FALSE), "")</f>
        <v>2</v>
      </c>
      <c r="F4">
        <f>IFERROR(VLOOKUP($B4,board!$A:$T,20,FALSE), "")</f>
        <v>1</v>
      </c>
      <c r="G4">
        <f t="shared" si="0"/>
        <v>1</v>
      </c>
      <c r="H4" s="14">
        <f t="shared" si="1"/>
        <v>0.42857142857142855</v>
      </c>
    </row>
    <row r="5" spans="1:8">
      <c r="A5">
        <v>4</v>
      </c>
      <c r="B5" t="s">
        <v>97</v>
      </c>
      <c r="C5" t="s">
        <v>405</v>
      </c>
      <c r="D5" t="str">
        <f>IF(OR(E5="HM", E5="-"),"", IFERROR(VLOOKUP($B5,board!$A:$T,2,FALSE), ""))</f>
        <v>SF</v>
      </c>
      <c r="E5">
        <f>IFERROR(VLOOKUP($B5,board!$A:$T,19,FALSE), "")</f>
        <v>5</v>
      </c>
      <c r="F5">
        <f>IFERROR(VLOOKUP($B5,board!$A:$T,20,FALSE), "")</f>
        <v>2</v>
      </c>
      <c r="G5">
        <f t="shared" si="0"/>
        <v>-1</v>
      </c>
      <c r="H5" s="14">
        <f t="shared" si="1"/>
        <v>-0.1111111111111111</v>
      </c>
    </row>
    <row r="6" spans="1:8">
      <c r="A6">
        <v>5</v>
      </c>
      <c r="B6" t="s">
        <v>83</v>
      </c>
      <c r="C6" t="s">
        <v>406</v>
      </c>
      <c r="D6" t="str">
        <f>IF(OR(E6="HM", E6="-"),"", IFERROR(VLOOKUP($B6,board!$A:$T,2,FALSE), ""))</f>
        <v>SF</v>
      </c>
      <c r="E6">
        <f>IFERROR(VLOOKUP($B6,board!$A:$T,19,FALSE), "")</f>
        <v>12</v>
      </c>
      <c r="F6">
        <f>IFERROR(VLOOKUP($B6,board!$A:$T,20,FALSE), "")</f>
        <v>4</v>
      </c>
      <c r="G6">
        <f t="shared" si="0"/>
        <v>-7</v>
      </c>
      <c r="H6" s="14">
        <f t="shared" si="1"/>
        <v>-1.1818181818181819</v>
      </c>
    </row>
    <row r="7" spans="1:8">
      <c r="A7">
        <v>6</v>
      </c>
      <c r="B7" t="s">
        <v>75</v>
      </c>
      <c r="C7" t="s">
        <v>407</v>
      </c>
      <c r="D7" t="str">
        <f>IF(OR(E7="HM", E7="-"),"", IFERROR(VLOOKUP($B7,board!$A:$T,2,FALSE), ""))</f>
        <v>PF</v>
      </c>
      <c r="E7">
        <f>IFERROR(VLOOKUP($B7,board!$A:$T,19,FALSE), "")</f>
        <v>1</v>
      </c>
      <c r="F7">
        <f>IFERROR(VLOOKUP($B7,board!$A:$T,20,FALSE), "")</f>
        <v>1</v>
      </c>
      <c r="G7">
        <f t="shared" si="0"/>
        <v>5</v>
      </c>
      <c r="H7" s="14">
        <f t="shared" si="1"/>
        <v>0.84615384615384615</v>
      </c>
    </row>
    <row r="8" spans="1:8">
      <c r="A8">
        <v>7</v>
      </c>
      <c r="B8" t="s">
        <v>57</v>
      </c>
      <c r="C8" t="s">
        <v>408</v>
      </c>
      <c r="D8" t="str">
        <f>IF(OR(E8="HM", E8="-"),"", IFERROR(VLOOKUP($B8,board!$A:$T,2,FALSE), ""))</f>
        <v>PG</v>
      </c>
      <c r="E8">
        <f>IFERROR(VLOOKUP($B8,board!$A:$T,19,FALSE), "")</f>
        <v>7</v>
      </c>
      <c r="F8">
        <f>IFERROR(VLOOKUP($B8,board!$A:$T,20,FALSE), "")</f>
        <v>3</v>
      </c>
      <c r="G8">
        <f t="shared" si="0"/>
        <v>0</v>
      </c>
      <c r="H8" s="14">
        <f t="shared" si="1"/>
        <v>6.6666666666666666E-2</v>
      </c>
    </row>
    <row r="9" spans="1:8">
      <c r="A9">
        <v>8</v>
      </c>
      <c r="B9" t="s">
        <v>87</v>
      </c>
      <c r="C9" t="s">
        <v>409</v>
      </c>
      <c r="D9" t="str">
        <f>IF(OR(E9="HM", E9="-"),"", IFERROR(VLOOKUP($B9,board!$A:$T,2,FALSE), ""))</f>
        <v>PF</v>
      </c>
      <c r="E9">
        <f>IFERROR(VLOOKUP($B9,board!$A:$T,19,FALSE), "")</f>
        <v>20</v>
      </c>
      <c r="F9">
        <f>IFERROR(VLOOKUP($B9,board!$A:$T,20,FALSE), "")</f>
        <v>5</v>
      </c>
      <c r="G9">
        <f t="shared" si="0"/>
        <v>-12</v>
      </c>
      <c r="H9" s="14">
        <f t="shared" si="1"/>
        <v>-1.3529411764705883</v>
      </c>
    </row>
    <row r="10" spans="1:8">
      <c r="A10">
        <v>9</v>
      </c>
      <c r="B10" t="s">
        <v>73</v>
      </c>
      <c r="C10" t="s">
        <v>410</v>
      </c>
      <c r="D10" t="str">
        <f>IF(OR(E10="HM", E10="-"),"", IFERROR(VLOOKUP($B10,board!$A:$T,2,FALSE), ""))</f>
        <v>SF</v>
      </c>
      <c r="E10">
        <f>IFERROR(VLOOKUP($B10,board!$A:$T,19,FALSE), "")</f>
        <v>11</v>
      </c>
      <c r="F10">
        <f>IFERROR(VLOOKUP($B10,board!$A:$T,20,FALSE), "")</f>
        <v>4</v>
      </c>
      <c r="G10">
        <f t="shared" si="0"/>
        <v>-2</v>
      </c>
      <c r="H10" s="14">
        <f t="shared" si="1"/>
        <v>-0.15789473684210525</v>
      </c>
    </row>
    <row r="11" spans="1:8">
      <c r="A11">
        <v>10</v>
      </c>
      <c r="B11" t="s">
        <v>98</v>
      </c>
      <c r="C11" t="s">
        <v>411</v>
      </c>
      <c r="D11" t="str">
        <f>IF(OR(E11="HM", E11="-"),"", IFERROR(VLOOKUP($B11,board!$A:$T,2,FALSE), ""))</f>
        <v>PF</v>
      </c>
      <c r="E11">
        <f>IFERROR(VLOOKUP($B11,board!$A:$T,19,FALSE), "")</f>
        <v>19</v>
      </c>
      <c r="F11">
        <f>IFERROR(VLOOKUP($B11,board!$A:$T,20,FALSE), "")</f>
        <v>5</v>
      </c>
      <c r="G11">
        <f t="shared" si="0"/>
        <v>-9</v>
      </c>
      <c r="H11" s="14">
        <f t="shared" si="1"/>
        <v>-0.80952380952380953</v>
      </c>
    </row>
    <row r="12" spans="1:8">
      <c r="A12">
        <v>11</v>
      </c>
      <c r="B12" t="s">
        <v>80</v>
      </c>
      <c r="C12" t="s">
        <v>412</v>
      </c>
      <c r="D12" t="str">
        <f>IF(OR(E12="HM", E12="-"),"", IFERROR(VLOOKUP($B12,board!$A:$T,2,FALSE), ""))</f>
        <v>SF</v>
      </c>
      <c r="E12">
        <f>IFERROR(VLOOKUP($B12,board!$A:$T,19,FALSE), "")</f>
        <v>6</v>
      </c>
      <c r="F12">
        <f>IFERROR(VLOOKUP($B12,board!$A:$T,20,FALSE), "")</f>
        <v>2</v>
      </c>
      <c r="G12">
        <f t="shared" si="0"/>
        <v>5</v>
      </c>
      <c r="H12" s="14">
        <f t="shared" si="1"/>
        <v>0.47826086956521741</v>
      </c>
    </row>
    <row r="13" spans="1:8">
      <c r="A13">
        <v>12</v>
      </c>
      <c r="B13" t="s">
        <v>85</v>
      </c>
      <c r="C13" t="s">
        <v>413</v>
      </c>
      <c r="D13" t="str">
        <f>IF(OR(E13="HM", E13="-"),"", IFERROR(VLOOKUP($B13,board!$A:$T,2,FALSE), ""))</f>
        <v>PG</v>
      </c>
      <c r="E13">
        <f>IFERROR(VLOOKUP($B13,board!$A:$T,19,FALSE), "")</f>
        <v>9</v>
      </c>
      <c r="F13">
        <f>IFERROR(VLOOKUP($B13,board!$A:$T,20,FALSE), "")</f>
        <v>3</v>
      </c>
      <c r="G13">
        <f t="shared" si="0"/>
        <v>3</v>
      </c>
      <c r="H13" s="14">
        <f t="shared" si="1"/>
        <v>0.28000000000000003</v>
      </c>
    </row>
    <row r="14" spans="1:8">
      <c r="A14">
        <v>13</v>
      </c>
      <c r="B14" t="s">
        <v>94</v>
      </c>
      <c r="C14" t="s">
        <v>414</v>
      </c>
      <c r="D14" t="str">
        <f>IF(OR(E14="HM", E14="-"),"", IFERROR(VLOOKUP($B14,board!$A:$T,2,FALSE), ""))</f>
        <v>PG</v>
      </c>
      <c r="E14">
        <f>IFERROR(VLOOKUP($B14,board!$A:$T,19,FALSE), "")</f>
        <v>8</v>
      </c>
      <c r="F14">
        <f>IFERROR(VLOOKUP($B14,board!$A:$T,20,FALSE), "")</f>
        <v>3</v>
      </c>
      <c r="G14">
        <f t="shared" si="0"/>
        <v>5</v>
      </c>
      <c r="H14" s="14">
        <f t="shared" si="1"/>
        <v>0.40740740740740738</v>
      </c>
    </row>
    <row r="15" spans="1:8">
      <c r="A15">
        <v>14</v>
      </c>
      <c r="B15" t="s">
        <v>101</v>
      </c>
      <c r="C15" t="s">
        <v>415</v>
      </c>
      <c r="D15" t="str">
        <f>IF(OR(E15="HM", E15="-"),"", IFERROR(VLOOKUP($B15,board!$A:$T,2,FALSE), ""))</f>
        <v>SF</v>
      </c>
      <c r="E15">
        <f>IFERROR(VLOOKUP($B15,board!$A:$T,19,FALSE), "")</f>
        <v>17</v>
      </c>
      <c r="F15">
        <f>IFERROR(VLOOKUP($B15,board!$A:$T,20,FALSE), "")</f>
        <v>4</v>
      </c>
      <c r="G15">
        <f t="shared" si="0"/>
        <v>-3</v>
      </c>
      <c r="H15" s="14">
        <f t="shared" si="1"/>
        <v>-0.17241379310344829</v>
      </c>
    </row>
    <row r="16" spans="1:8">
      <c r="A16">
        <v>15</v>
      </c>
      <c r="B16" t="s">
        <v>95</v>
      </c>
      <c r="C16" t="s">
        <v>416</v>
      </c>
      <c r="D16" t="str">
        <f>IF(OR(E16="HM", E16="-"),"", IFERROR(VLOOKUP($B16,board!$A:$T,2,FALSE), ""))</f>
        <v>PG</v>
      </c>
      <c r="E16">
        <f>IFERROR(VLOOKUP($B16,board!$A:$T,19,FALSE), "")</f>
        <v>18</v>
      </c>
      <c r="F16">
        <f>IFERROR(VLOOKUP($B16,board!$A:$T,20,FALSE), "")</f>
        <v>5</v>
      </c>
      <c r="G16">
        <f t="shared" si="0"/>
        <v>-3</v>
      </c>
      <c r="H16" s="14">
        <f t="shared" si="1"/>
        <v>-0.16129032258064516</v>
      </c>
    </row>
    <row r="17" spans="1:8">
      <c r="A17">
        <v>16</v>
      </c>
      <c r="B17" t="s">
        <v>116</v>
      </c>
      <c r="C17" t="s">
        <v>408</v>
      </c>
      <c r="D17" t="str">
        <f>IF(OR(E17="HM", E17="-"),"", IFERROR(VLOOKUP($B17,board!$A:$T,2,FALSE), ""))</f>
        <v>C</v>
      </c>
      <c r="E17">
        <f>IFERROR(VLOOKUP($B17,board!$A:$T,19,FALSE), "")</f>
        <v>40</v>
      </c>
      <c r="F17">
        <f>IFERROR(VLOOKUP($B17,board!$A:$T,20,FALSE), "")</f>
        <v>6</v>
      </c>
      <c r="G17">
        <f t="shared" si="0"/>
        <v>-24</v>
      </c>
      <c r="H17" s="14">
        <f t="shared" si="1"/>
        <v>-1.4242424242424243</v>
      </c>
    </row>
    <row r="18" spans="1:8">
      <c r="A18">
        <v>17</v>
      </c>
      <c r="B18" t="s">
        <v>89</v>
      </c>
      <c r="C18" t="s">
        <v>417</v>
      </c>
      <c r="D18" t="str">
        <f>IF(OR(E18="HM", E18="-"),"", IFERROR(VLOOKUP($B18,board!$A:$T,2,FALSE), ""))</f>
        <v>PF</v>
      </c>
      <c r="E18">
        <f>IFERROR(VLOOKUP($B18,board!$A:$T,19,FALSE), "")</f>
        <v>10</v>
      </c>
      <c r="F18">
        <f>IFERROR(VLOOKUP($B18,board!$A:$T,20,FALSE), "")</f>
        <v>4</v>
      </c>
      <c r="G18">
        <f t="shared" si="0"/>
        <v>7</v>
      </c>
      <c r="H18" s="14">
        <f t="shared" si="1"/>
        <v>0.42857142857142855</v>
      </c>
    </row>
    <row r="19" spans="1:8">
      <c r="A19">
        <v>18</v>
      </c>
      <c r="B19" t="s">
        <v>108</v>
      </c>
      <c r="C19" t="s">
        <v>418</v>
      </c>
      <c r="D19" t="str">
        <f>IF(OR(E19="HM", E19="-"),"", IFERROR(VLOOKUP($B19,board!$A:$T,2,FALSE), ""))</f>
        <v>SG</v>
      </c>
      <c r="E19">
        <f>IFERROR(VLOOKUP($B19,board!$A:$T,19,FALSE), "")</f>
        <v>15</v>
      </c>
      <c r="F19">
        <f>IFERROR(VLOOKUP($B19,board!$A:$T,20,FALSE), "")</f>
        <v>4</v>
      </c>
      <c r="G19">
        <f t="shared" si="0"/>
        <v>3</v>
      </c>
      <c r="H19" s="14">
        <f t="shared" si="1"/>
        <v>0.1891891891891892</v>
      </c>
    </row>
    <row r="20" spans="1:8">
      <c r="A20">
        <v>19</v>
      </c>
      <c r="B20" t="s">
        <v>100</v>
      </c>
      <c r="C20" t="s">
        <v>408</v>
      </c>
      <c r="D20" t="str">
        <f>IF(OR(E20="HM", E20="-"),"", IFERROR(VLOOKUP($B20,board!$A:$T,2,FALSE), ""))</f>
        <v>SF</v>
      </c>
      <c r="E20">
        <f>IFERROR(VLOOKUP($B20,board!$A:$T,19,FALSE), "")</f>
        <v>16</v>
      </c>
      <c r="F20">
        <f>IFERROR(VLOOKUP($B20,board!$A:$T,20,FALSE), "")</f>
        <v>4</v>
      </c>
      <c r="G20">
        <f t="shared" si="0"/>
        <v>3</v>
      </c>
      <c r="H20" s="14">
        <f t="shared" si="1"/>
        <v>0.17948717948717949</v>
      </c>
    </row>
    <row r="21" spans="1:8">
      <c r="A21">
        <v>20</v>
      </c>
      <c r="B21" t="s">
        <v>106</v>
      </c>
      <c r="C21" t="s">
        <v>420</v>
      </c>
      <c r="D21" t="str">
        <f>IF(OR(E21="HM", E21="-"),"", IFERROR(VLOOKUP($B21,board!$A:$T,2,FALSE), ""))</f>
        <v>PF</v>
      </c>
      <c r="E21">
        <f>IFERROR(VLOOKUP($B21,board!$A:$T,19,FALSE), "")</f>
        <v>33</v>
      </c>
      <c r="F21">
        <f>IFERROR(VLOOKUP($B21,board!$A:$T,20,FALSE), "")</f>
        <v>6</v>
      </c>
      <c r="G21">
        <f t="shared" si="0"/>
        <v>-13</v>
      </c>
      <c r="H21" s="14">
        <f t="shared" si="1"/>
        <v>-0.6097560975609756</v>
      </c>
    </row>
    <row r="22" spans="1:8">
      <c r="A22">
        <v>21</v>
      </c>
      <c r="B22" t="s">
        <v>92</v>
      </c>
      <c r="C22" t="s">
        <v>421</v>
      </c>
      <c r="D22" t="str">
        <f>IF(OR(E22="HM", E22="-"),"", IFERROR(VLOOKUP($B22,board!$A:$T,2,FALSE), ""))</f>
        <v>PG</v>
      </c>
      <c r="E22">
        <f>IFERROR(VLOOKUP($B22,board!$A:$T,19,FALSE), "")</f>
        <v>13</v>
      </c>
      <c r="F22">
        <f>IFERROR(VLOOKUP($B22,board!$A:$T,20,FALSE), "")</f>
        <v>4</v>
      </c>
      <c r="G22">
        <f t="shared" si="0"/>
        <v>8</v>
      </c>
      <c r="H22" s="14">
        <f t="shared" si="1"/>
        <v>0.39534883720930231</v>
      </c>
    </row>
    <row r="23" spans="1:8">
      <c r="A23">
        <v>22</v>
      </c>
      <c r="B23" t="s">
        <v>133</v>
      </c>
      <c r="C23" t="s">
        <v>422</v>
      </c>
      <c r="D23" t="str">
        <f>IF(OR(E23="HM", E23="-"),"", IFERROR(VLOOKUP($B23,board!$A:$T,2,FALSE), ""))</f>
        <v>C</v>
      </c>
      <c r="E23">
        <f>IFERROR(VLOOKUP($B23,board!$A:$T,19,FALSE), "")</f>
        <v>39</v>
      </c>
      <c r="F23">
        <f>IFERROR(VLOOKUP($B23,board!$A:$T,20,FALSE), "")</f>
        <v>6</v>
      </c>
      <c r="G23">
        <f t="shared" si="0"/>
        <v>-17</v>
      </c>
      <c r="H23" s="14">
        <f t="shared" si="1"/>
        <v>-0.73333333333333328</v>
      </c>
    </row>
    <row r="24" spans="1:8">
      <c r="A24">
        <v>23</v>
      </c>
      <c r="B24" t="s">
        <v>105</v>
      </c>
      <c r="C24" t="s">
        <v>401</v>
      </c>
      <c r="D24" t="str">
        <f>IF(OR(E24="HM", E24="-"),"", IFERROR(VLOOKUP($B24,board!$A:$T,2,FALSE), ""))</f>
        <v>SF</v>
      </c>
      <c r="E24">
        <f>IFERROR(VLOOKUP($B24,board!$A:$T,19,FALSE), "")</f>
        <v>31</v>
      </c>
      <c r="F24">
        <f>IFERROR(VLOOKUP($B24,board!$A:$T,20,FALSE), "")</f>
        <v>6</v>
      </c>
      <c r="G24">
        <f t="shared" si="0"/>
        <v>-8</v>
      </c>
      <c r="H24" s="14">
        <f t="shared" si="1"/>
        <v>-0.31914893617021278</v>
      </c>
    </row>
    <row r="25" spans="1:8">
      <c r="A25">
        <v>24</v>
      </c>
      <c r="B25" t="s">
        <v>103</v>
      </c>
      <c r="C25" t="s">
        <v>422</v>
      </c>
      <c r="D25" t="str">
        <f>IF(OR(E25="HM", E25="-"),"", IFERROR(VLOOKUP($B25,board!$A:$T,2,FALSE), ""))</f>
        <v>PG</v>
      </c>
      <c r="E25">
        <f>IFERROR(VLOOKUP($B25,board!$A:$T,19,FALSE), "")</f>
        <v>21</v>
      </c>
      <c r="F25">
        <f>IFERROR(VLOOKUP($B25,board!$A:$T,20,FALSE), "")</f>
        <v>5</v>
      </c>
      <c r="G25">
        <f t="shared" si="0"/>
        <v>3</v>
      </c>
      <c r="H25" s="14">
        <f t="shared" si="1"/>
        <v>0.14285714285714285</v>
      </c>
    </row>
    <row r="26" spans="1:8">
      <c r="A26">
        <v>25</v>
      </c>
      <c r="B26" t="s">
        <v>135</v>
      </c>
      <c r="C26" t="s">
        <v>409</v>
      </c>
      <c r="D26" t="str">
        <f>IF(OR(E26="HM", E26="-"),"", IFERROR(VLOOKUP($B26,board!$A:$T,2,FALSE), ""))</f>
        <v>SG</v>
      </c>
      <c r="E26">
        <f>IFERROR(VLOOKUP($B26,board!$A:$T,19,FALSE), "")</f>
        <v>55</v>
      </c>
      <c r="F26">
        <f>IFERROR(VLOOKUP($B26,board!$A:$T,20,FALSE), "")</f>
        <v>8</v>
      </c>
      <c r="G26">
        <f t="shared" si="0"/>
        <v>-30</v>
      </c>
      <c r="H26" s="14">
        <f t="shared" si="1"/>
        <v>-1.1568627450980393</v>
      </c>
    </row>
    <row r="27" spans="1:8">
      <c r="A27">
        <v>26</v>
      </c>
      <c r="B27" t="s">
        <v>131</v>
      </c>
      <c r="C27" t="s">
        <v>415</v>
      </c>
      <c r="D27" t="str">
        <f>IF(OR(E27="HM", E27="-"),"", IFERROR(VLOOKUP($B27,board!$A:$T,2,FALSE), ""))</f>
        <v>PG</v>
      </c>
      <c r="E27">
        <f>IFERROR(VLOOKUP($B27,board!$A:$T,19,FALSE), "")</f>
        <v>44</v>
      </c>
      <c r="F27">
        <f>IFERROR(VLOOKUP($B27,board!$A:$T,20,FALSE), "")</f>
        <v>7</v>
      </c>
      <c r="G27">
        <f t="shared" si="0"/>
        <v>-18</v>
      </c>
      <c r="H27" s="14">
        <f t="shared" si="1"/>
        <v>-0.660377358490566</v>
      </c>
    </row>
    <row r="28" spans="1:8">
      <c r="A28">
        <v>27</v>
      </c>
      <c r="B28" t="s">
        <v>139</v>
      </c>
      <c r="C28" t="s">
        <v>423</v>
      </c>
      <c r="D28" t="str">
        <f>IF(OR(E28="HM", E28="-"),"", IFERROR(VLOOKUP($B28,board!$A:$T,2,FALSE), ""))</f>
        <v>C</v>
      </c>
      <c r="E28">
        <f>IFERROR(VLOOKUP($B28,board!$A:$T,19,FALSE), "")</f>
        <v>47</v>
      </c>
      <c r="F28">
        <f>IFERROR(VLOOKUP($B28,board!$A:$T,20,FALSE), "")</f>
        <v>7</v>
      </c>
      <c r="G28">
        <f t="shared" si="0"/>
        <v>-20</v>
      </c>
      <c r="H28" s="14">
        <f t="shared" si="1"/>
        <v>-0.70909090909090911</v>
      </c>
    </row>
    <row r="29" spans="1:8">
      <c r="A29">
        <v>28</v>
      </c>
      <c r="B29" t="s">
        <v>110</v>
      </c>
      <c r="C29" t="s">
        <v>401</v>
      </c>
      <c r="D29" t="str">
        <f>IF(OR(E29="HM", E29="-"),"", IFERROR(VLOOKUP($B29,board!$A:$T,2,FALSE), ""))</f>
        <v>SF</v>
      </c>
      <c r="E29">
        <f>IFERROR(VLOOKUP($B29,board!$A:$T,19,FALSE), "")</f>
        <v>23</v>
      </c>
      <c r="F29">
        <f>IFERROR(VLOOKUP($B29,board!$A:$T,20,FALSE), "")</f>
        <v>5</v>
      </c>
      <c r="G29">
        <f t="shared" si="0"/>
        <v>5</v>
      </c>
      <c r="H29" s="14">
        <f t="shared" si="1"/>
        <v>0.19298245614035087</v>
      </c>
    </row>
    <row r="30" spans="1:8">
      <c r="A30">
        <v>29</v>
      </c>
      <c r="B30" t="s">
        <v>121</v>
      </c>
      <c r="C30" t="s">
        <v>424</v>
      </c>
      <c r="D30" t="str">
        <f>IF(OR(E30="HM", E30="-"),"", IFERROR(VLOOKUP($B30,board!$A:$T,2,FALSE), ""))</f>
        <v>PG</v>
      </c>
      <c r="E30">
        <f>IFERROR(VLOOKUP($B30,board!$A:$T,19,FALSE), "")</f>
        <v>42</v>
      </c>
      <c r="F30">
        <f>IFERROR(VLOOKUP($B30,board!$A:$T,20,FALSE), "")</f>
        <v>6</v>
      </c>
      <c r="G30">
        <f t="shared" si="0"/>
        <v>-13</v>
      </c>
      <c r="H30" s="14">
        <f t="shared" si="1"/>
        <v>-0.42372881355932202</v>
      </c>
    </row>
    <row r="31" spans="1:8">
      <c r="A31">
        <v>30</v>
      </c>
      <c r="B31" t="s">
        <v>102</v>
      </c>
      <c r="C31" t="s">
        <v>425</v>
      </c>
      <c r="D31" t="str">
        <f>IF(OR(E31="HM", E31="-"),"", IFERROR(VLOOKUP($B31,board!$A:$T,2,FALSE), ""))</f>
        <v>SG</v>
      </c>
      <c r="E31">
        <f>IFERROR(VLOOKUP($B31,board!$A:$T,19,FALSE), "")</f>
        <v>26</v>
      </c>
      <c r="F31">
        <f>IFERROR(VLOOKUP($B31,board!$A:$T,20,FALSE), "")</f>
        <v>6</v>
      </c>
      <c r="G31">
        <f t="shared" si="0"/>
        <v>4</v>
      </c>
      <c r="H31" s="14">
        <f t="shared" si="1"/>
        <v>0.14754098360655737</v>
      </c>
    </row>
    <row r="32" spans="1:8">
      <c r="A32">
        <v>31</v>
      </c>
      <c r="B32" t="s">
        <v>81</v>
      </c>
      <c r="C32" t="s">
        <v>418</v>
      </c>
      <c r="D32" t="str">
        <f>IF(OR(E32="HM", E32="-"),"", IFERROR(VLOOKUP($B32,board!$A:$T,2,FALSE), ""))</f>
        <v>PG</v>
      </c>
      <c r="E32">
        <f>IFERROR(VLOOKUP($B32,board!$A:$T,19,FALSE), "")</f>
        <v>14</v>
      </c>
      <c r="F32">
        <f>IFERROR(VLOOKUP($B32,board!$A:$T,20,FALSE), "")</f>
        <v>4</v>
      </c>
      <c r="G32">
        <f t="shared" si="0"/>
        <v>17</v>
      </c>
      <c r="H32" s="14">
        <f t="shared" si="1"/>
        <v>0.55555555555555558</v>
      </c>
    </row>
    <row r="33" spans="1:8">
      <c r="A33">
        <v>32</v>
      </c>
      <c r="B33" t="s">
        <v>138</v>
      </c>
      <c r="C33" t="s">
        <v>404</v>
      </c>
      <c r="D33" t="str">
        <f>IF(OR(E33="HM", E33="-"),"", IFERROR(VLOOKUP($B33,board!$A:$T,2,FALSE), ""))</f>
        <v>C</v>
      </c>
      <c r="E33">
        <f>IFERROR(VLOOKUP($B33,board!$A:$T,19,FALSE), "")</f>
        <v>28</v>
      </c>
      <c r="F33">
        <f>IFERROR(VLOOKUP($B33,board!$A:$T,20,FALSE), "")</f>
        <v>6</v>
      </c>
      <c r="G33">
        <f t="shared" si="0"/>
        <v>4</v>
      </c>
      <c r="H33" s="14">
        <f t="shared" si="1"/>
        <v>0.13846153846153847</v>
      </c>
    </row>
    <row r="34" spans="1:8">
      <c r="A34">
        <v>33</v>
      </c>
      <c r="B34" t="s">
        <v>137</v>
      </c>
      <c r="C34" t="s">
        <v>452</v>
      </c>
      <c r="D34" t="str">
        <f>IF(OR(E34="HM", E34="-"),"", IFERROR(VLOOKUP($B34,board!$A:$T,2,FALSE), ""))</f>
        <v>PF</v>
      </c>
      <c r="E34">
        <f>IFERROR(VLOOKUP($B34,board!$A:$T,19,FALSE), "")</f>
        <v>49</v>
      </c>
      <c r="F34">
        <f>IFERROR(VLOOKUP($B34,board!$A:$T,20,FALSE), "")</f>
        <v>8</v>
      </c>
      <c r="G34">
        <f t="shared" ref="G34:G61" si="2">IFERROR(A34-E34, "")</f>
        <v>-16</v>
      </c>
      <c r="H34" s="14">
        <f t="shared" ref="H34:H61" si="3">IFERROR((A34-E34+0.5)/(A34+0.5), "")</f>
        <v>-0.46268656716417911</v>
      </c>
    </row>
    <row r="35" spans="1:8">
      <c r="A35">
        <v>34</v>
      </c>
      <c r="B35" t="s">
        <v>118</v>
      </c>
      <c r="C35" t="s">
        <v>417</v>
      </c>
      <c r="D35" t="str">
        <f>IF(OR(E35="HM", E35="-"),"", IFERROR(VLOOKUP($B35,board!$A:$T,2,FALSE), ""))</f>
        <v>PG</v>
      </c>
      <c r="E35">
        <f>IFERROR(VLOOKUP($B35,board!$A:$T,19,FALSE), "")</f>
        <v>22</v>
      </c>
      <c r="F35">
        <f>IFERROR(VLOOKUP($B35,board!$A:$T,20,FALSE), "")</f>
        <v>5</v>
      </c>
      <c r="G35">
        <f t="shared" si="2"/>
        <v>12</v>
      </c>
      <c r="H35" s="14">
        <f t="shared" si="3"/>
        <v>0.36231884057971014</v>
      </c>
    </row>
    <row r="36" spans="1:8">
      <c r="A36">
        <v>35</v>
      </c>
      <c r="B36" t="s">
        <v>134</v>
      </c>
      <c r="C36" t="s">
        <v>425</v>
      </c>
      <c r="D36" t="str">
        <f>IF(OR(E36="HM", E36="-"),"", IFERROR(VLOOKUP($B36,board!$A:$T,2,FALSE), ""))</f>
        <v>PF</v>
      </c>
      <c r="E36">
        <f>IFERROR(VLOOKUP($B36,board!$A:$T,19,FALSE), "")</f>
        <v>37</v>
      </c>
      <c r="F36">
        <f>IFERROR(VLOOKUP($B36,board!$A:$T,20,FALSE), "")</f>
        <v>6</v>
      </c>
      <c r="G36">
        <f t="shared" si="2"/>
        <v>-2</v>
      </c>
      <c r="H36" s="14">
        <f t="shared" si="3"/>
        <v>-4.2253521126760563E-2</v>
      </c>
    </row>
    <row r="37" spans="1:8">
      <c r="A37">
        <v>36</v>
      </c>
      <c r="B37" t="s">
        <v>124</v>
      </c>
      <c r="C37" t="s">
        <v>418</v>
      </c>
      <c r="D37" t="str">
        <f>IF(OR(E37="HM", E37="-"),"", IFERROR(VLOOKUP($B37,board!$A:$T,2,FALSE), ""))</f>
        <v>PF</v>
      </c>
      <c r="E37">
        <f>IFERROR(VLOOKUP($B37,board!$A:$T,19,FALSE), "")</f>
        <v>52</v>
      </c>
      <c r="F37">
        <f>IFERROR(VLOOKUP($B37,board!$A:$T,20,FALSE), "")</f>
        <v>8</v>
      </c>
      <c r="G37">
        <f t="shared" si="2"/>
        <v>-16</v>
      </c>
      <c r="H37" s="14">
        <f t="shared" si="3"/>
        <v>-0.42465753424657532</v>
      </c>
    </row>
    <row r="38" spans="1:8">
      <c r="A38">
        <v>37</v>
      </c>
      <c r="B38" t="s">
        <v>426</v>
      </c>
      <c r="C38" t="s">
        <v>417</v>
      </c>
      <c r="D38" t="str">
        <f>IF(OR(E38="HM", E38="-"),"", IFERROR(VLOOKUP($B38,board!$A:$T,2,FALSE), ""))</f>
        <v/>
      </c>
      <c r="E38" t="str">
        <f>IFERROR(VLOOKUP($B38,board!$A:$T,19,FALSE), "")</f>
        <v>-</v>
      </c>
      <c r="F38">
        <f>IFERROR(VLOOKUP($B38,board!$A:$T,20,FALSE), "")</f>
        <v>10</v>
      </c>
      <c r="G38" t="str">
        <f t="shared" si="2"/>
        <v/>
      </c>
      <c r="H38" s="14" t="str">
        <f t="shared" si="3"/>
        <v/>
      </c>
    </row>
    <row r="39" spans="1:8">
      <c r="A39">
        <v>38</v>
      </c>
      <c r="B39" t="s">
        <v>427</v>
      </c>
      <c r="C39" t="s">
        <v>408</v>
      </c>
      <c r="D39" t="str">
        <f>IF(OR(E39="HM", E39="-"),"", IFERROR(VLOOKUP($B39,board!$A:$T,2,FALSE), ""))</f>
        <v/>
      </c>
      <c r="E39" t="str">
        <f>IFERROR(VLOOKUP($B39,board!$A:$T,19,FALSE), "")</f>
        <v>HM</v>
      </c>
      <c r="F39">
        <f>IFERROR(VLOOKUP($B39,board!$A:$T,20,FALSE), "")</f>
        <v>9</v>
      </c>
      <c r="G39" t="str">
        <f t="shared" si="2"/>
        <v/>
      </c>
      <c r="H39" s="14" t="str">
        <f t="shared" si="3"/>
        <v/>
      </c>
    </row>
    <row r="40" spans="1:8">
      <c r="A40">
        <v>39</v>
      </c>
      <c r="B40" t="s">
        <v>126</v>
      </c>
      <c r="C40" t="s">
        <v>414</v>
      </c>
      <c r="D40" t="str">
        <f>IF(OR(E40="HM", E40="-"),"", IFERROR(VLOOKUP($B40,board!$A:$T,2,FALSE), ""))</f>
        <v>SG</v>
      </c>
      <c r="E40">
        <f>IFERROR(VLOOKUP($B40,board!$A:$T,19,FALSE), "")</f>
        <v>48</v>
      </c>
      <c r="F40">
        <f>IFERROR(VLOOKUP($B40,board!$A:$T,20,FALSE), "")</f>
        <v>8</v>
      </c>
      <c r="G40">
        <f t="shared" si="2"/>
        <v>-9</v>
      </c>
      <c r="H40" s="14">
        <f t="shared" si="3"/>
        <v>-0.21518987341772153</v>
      </c>
    </row>
    <row r="41" spans="1:8">
      <c r="A41">
        <v>40</v>
      </c>
      <c r="B41" t="s">
        <v>104</v>
      </c>
      <c r="C41" t="s">
        <v>413</v>
      </c>
      <c r="D41" t="str">
        <f>IF(OR(E41="HM", E41="-"),"", IFERROR(VLOOKUP($B41,board!$A:$T,2,FALSE), ""))</f>
        <v>SF</v>
      </c>
      <c r="E41">
        <f>IFERROR(VLOOKUP($B41,board!$A:$T,19,FALSE), "")</f>
        <v>29</v>
      </c>
      <c r="F41">
        <f>IFERROR(VLOOKUP($B41,board!$A:$T,20,FALSE), "")</f>
        <v>6</v>
      </c>
      <c r="G41">
        <f t="shared" si="2"/>
        <v>11</v>
      </c>
      <c r="H41" s="14">
        <f t="shared" si="3"/>
        <v>0.2839506172839506</v>
      </c>
    </row>
    <row r="42" spans="1:8">
      <c r="A42">
        <v>41</v>
      </c>
      <c r="B42" t="s">
        <v>127</v>
      </c>
      <c r="C42" t="s">
        <v>412</v>
      </c>
      <c r="D42" t="str">
        <f>IF(OR(E42="HM", E42="-"),"", IFERROR(VLOOKUP($B42,board!$A:$T,2,FALSE), ""))</f>
        <v>PG</v>
      </c>
      <c r="E42">
        <f>IFERROR(VLOOKUP($B42,board!$A:$T,19,FALSE), "")</f>
        <v>27</v>
      </c>
      <c r="F42">
        <f>IFERROR(VLOOKUP($B42,board!$A:$T,20,FALSE), "")</f>
        <v>6</v>
      </c>
      <c r="G42">
        <f t="shared" si="2"/>
        <v>14</v>
      </c>
      <c r="H42" s="14">
        <f t="shared" si="3"/>
        <v>0.3493975903614458</v>
      </c>
    </row>
    <row r="43" spans="1:8">
      <c r="A43">
        <v>42</v>
      </c>
      <c r="B43" t="s">
        <v>428</v>
      </c>
      <c r="C43" t="s">
        <v>414</v>
      </c>
      <c r="D43" t="str">
        <f>IF(OR(E43="HM", E43="-"),"", IFERROR(VLOOKUP($B43,board!$A:$T,2,FALSE), ""))</f>
        <v/>
      </c>
      <c r="E43" t="str">
        <f>IFERROR(VLOOKUP($B43,board!$A:$T,19,FALSE), "")</f>
        <v>-</v>
      </c>
      <c r="F43">
        <f>IFERROR(VLOOKUP($B43,board!$A:$T,20,FALSE), "")</f>
        <v>10</v>
      </c>
      <c r="G43" t="str">
        <f t="shared" si="2"/>
        <v/>
      </c>
      <c r="H43" s="14" t="str">
        <f t="shared" si="3"/>
        <v/>
      </c>
    </row>
    <row r="44" spans="1:8">
      <c r="A44">
        <v>43</v>
      </c>
      <c r="B44" t="s">
        <v>125</v>
      </c>
      <c r="C44" t="s">
        <v>413</v>
      </c>
      <c r="D44" t="str">
        <f>IF(OR(E44="HM", E44="-"),"", IFERROR(VLOOKUP($B44,board!$A:$T,2,FALSE), ""))</f>
        <v>SG</v>
      </c>
      <c r="E44">
        <f>IFERROR(VLOOKUP($B44,board!$A:$T,19,FALSE), "")</f>
        <v>25</v>
      </c>
      <c r="F44">
        <f>IFERROR(VLOOKUP($B44,board!$A:$T,20,FALSE), "")</f>
        <v>6</v>
      </c>
      <c r="G44">
        <f t="shared" si="2"/>
        <v>18</v>
      </c>
      <c r="H44" s="14">
        <f t="shared" si="3"/>
        <v>0.42528735632183906</v>
      </c>
    </row>
    <row r="45" spans="1:8">
      <c r="A45">
        <v>44</v>
      </c>
      <c r="B45" t="s">
        <v>429</v>
      </c>
      <c r="C45" t="s">
        <v>405</v>
      </c>
      <c r="D45" t="str">
        <f>IF(OR(E45="HM", E45="-"),"", IFERROR(VLOOKUP($B45,board!$A:$T,2,FALSE), ""))</f>
        <v/>
      </c>
      <c r="E45" t="str">
        <f>IFERROR(VLOOKUP($B45,board!$A:$T,19,FALSE), "")</f>
        <v>-</v>
      </c>
      <c r="F45">
        <f>IFERROR(VLOOKUP($B45,board!$A:$T,20,FALSE), "")</f>
        <v>10</v>
      </c>
      <c r="G45" t="str">
        <f t="shared" si="2"/>
        <v/>
      </c>
      <c r="H45" s="14" t="str">
        <f t="shared" si="3"/>
        <v/>
      </c>
    </row>
    <row r="46" spans="1:8">
      <c r="A46">
        <v>45</v>
      </c>
      <c r="B46" t="s">
        <v>9</v>
      </c>
      <c r="C46" t="s">
        <v>430</v>
      </c>
      <c r="D46" t="str">
        <f>IF(OR(E46="HM", E46="-"),"", IFERROR(VLOOKUP($B46,board!$A:$T,2,FALSE), ""))</f>
        <v>SF</v>
      </c>
      <c r="E46">
        <f>IFERROR(VLOOKUP($B46,board!$A:$T,19,FALSE), "")</f>
        <v>45</v>
      </c>
      <c r="F46">
        <f>IFERROR(VLOOKUP($B46,board!$A:$T,20,FALSE), "")</f>
        <v>7</v>
      </c>
      <c r="G46">
        <f t="shared" si="2"/>
        <v>0</v>
      </c>
      <c r="H46" s="14">
        <f t="shared" si="3"/>
        <v>1.098901098901099E-2</v>
      </c>
    </row>
    <row r="47" spans="1:8">
      <c r="A47">
        <v>46</v>
      </c>
      <c r="B47" t="s">
        <v>439</v>
      </c>
      <c r="C47" t="s">
        <v>431</v>
      </c>
      <c r="D47" t="str">
        <f>IF(OR(E47="HM", E47="-"),"", IFERROR(VLOOKUP($B47,board!$A:$T,2,FALSE), ""))</f>
        <v/>
      </c>
      <c r="E47" t="str">
        <f>IFERROR(VLOOKUP($B47,board!$A:$T,19,FALSE), "")</f>
        <v>HM</v>
      </c>
      <c r="F47">
        <f>IFERROR(VLOOKUP($B47,board!$A:$T,20,FALSE), "")</f>
        <v>9</v>
      </c>
      <c r="G47" t="str">
        <f t="shared" si="2"/>
        <v/>
      </c>
      <c r="H47" s="14" t="str">
        <f t="shared" si="3"/>
        <v/>
      </c>
    </row>
    <row r="48" spans="1:8">
      <c r="A48">
        <v>47</v>
      </c>
      <c r="B48" t="s">
        <v>128</v>
      </c>
      <c r="C48" t="s">
        <v>415</v>
      </c>
      <c r="D48" t="str">
        <f>IF(OR(E48="HM", E48="-"),"", IFERROR(VLOOKUP($B48,board!$A:$T,2,FALSE), ""))</f>
        <v>PG</v>
      </c>
      <c r="E48">
        <f>IFERROR(VLOOKUP($B48,board!$A:$T,19,FALSE), "")</f>
        <v>46</v>
      </c>
      <c r="F48">
        <f>IFERROR(VLOOKUP($B48,board!$A:$T,20,FALSE), "")</f>
        <v>7</v>
      </c>
      <c r="G48">
        <f t="shared" si="2"/>
        <v>1</v>
      </c>
      <c r="H48" s="14">
        <f t="shared" si="3"/>
        <v>3.1578947368421054E-2</v>
      </c>
    </row>
    <row r="49" spans="1:8">
      <c r="A49">
        <v>48</v>
      </c>
      <c r="B49" t="s">
        <v>112</v>
      </c>
      <c r="C49" t="s">
        <v>403</v>
      </c>
      <c r="D49" t="str">
        <f>IF(OR(E49="HM", E49="-"),"", IFERROR(VLOOKUP($B49,board!$A:$T,2,FALSE), ""))</f>
        <v>PG</v>
      </c>
      <c r="E49">
        <f>IFERROR(VLOOKUP($B49,board!$A:$T,19,FALSE), "")</f>
        <v>34</v>
      </c>
      <c r="F49">
        <f>IFERROR(VLOOKUP($B49,board!$A:$T,20,FALSE), "")</f>
        <v>6</v>
      </c>
      <c r="G49">
        <f t="shared" si="2"/>
        <v>14</v>
      </c>
      <c r="H49" s="14">
        <f t="shared" si="3"/>
        <v>0.29896907216494845</v>
      </c>
    </row>
    <row r="50" spans="1:8">
      <c r="A50">
        <v>49</v>
      </c>
      <c r="B50" t="s">
        <v>114</v>
      </c>
      <c r="C50" t="s">
        <v>421</v>
      </c>
      <c r="D50" t="str">
        <f>IF(OR(E50="HM", E50="-"),"", IFERROR(VLOOKUP($B50,board!$A:$T,2,FALSE), ""))</f>
        <v>PG</v>
      </c>
      <c r="E50">
        <f>IFERROR(VLOOKUP($B50,board!$A:$T,19,FALSE), "")</f>
        <v>36</v>
      </c>
      <c r="F50">
        <f>IFERROR(VLOOKUP($B50,board!$A:$T,20,FALSE), "")</f>
        <v>6</v>
      </c>
      <c r="G50">
        <f t="shared" si="2"/>
        <v>13</v>
      </c>
      <c r="H50" s="14">
        <f t="shared" si="3"/>
        <v>0.27272727272727271</v>
      </c>
    </row>
    <row r="51" spans="1:8">
      <c r="A51">
        <v>50</v>
      </c>
      <c r="B51" t="s">
        <v>255</v>
      </c>
      <c r="C51" t="s">
        <v>407</v>
      </c>
      <c r="D51" t="str">
        <f>IF(OR(E51="HM", E51="-"),"", IFERROR(VLOOKUP($B51,board!$A:$T,2,FALSE), ""))</f>
        <v>SG</v>
      </c>
      <c r="E51">
        <f>IFERROR(VLOOKUP($B51,board!$A:$T,19,FALSE), "")</f>
        <v>43</v>
      </c>
      <c r="F51">
        <f>IFERROR(VLOOKUP($B51,board!$A:$T,20,FALSE), "")</f>
        <v>7</v>
      </c>
      <c r="G51">
        <f t="shared" si="2"/>
        <v>7</v>
      </c>
      <c r="H51" s="14">
        <f t="shared" si="3"/>
        <v>0.14851485148514851</v>
      </c>
    </row>
    <row r="52" spans="1:8">
      <c r="A52">
        <v>51</v>
      </c>
      <c r="B52" t="s">
        <v>432</v>
      </c>
      <c r="C52" t="s">
        <v>403</v>
      </c>
      <c r="D52" t="str">
        <f>IF(OR(E52="HM", E52="-"),"", IFERROR(VLOOKUP($B52,board!$A:$T,2,FALSE), ""))</f>
        <v/>
      </c>
      <c r="E52" t="str">
        <f>IFERROR(VLOOKUP($B52,board!$A:$T,19,FALSE), "")</f>
        <v>HM</v>
      </c>
      <c r="F52">
        <f>IFERROR(VLOOKUP($B52,board!$A:$T,20,FALSE), "")</f>
        <v>9</v>
      </c>
      <c r="G52" t="str">
        <f t="shared" si="2"/>
        <v/>
      </c>
      <c r="H52" s="14" t="str">
        <f t="shared" si="3"/>
        <v/>
      </c>
    </row>
    <row r="53" spans="1:8">
      <c r="A53">
        <v>52</v>
      </c>
      <c r="B53" t="s">
        <v>433</v>
      </c>
      <c r="C53" t="s">
        <v>413</v>
      </c>
      <c r="D53" t="str">
        <f>IF(OR(E53="HM", E53="-"),"", IFERROR(VLOOKUP($B53,board!$A:$T,2,FALSE), ""))</f>
        <v/>
      </c>
      <c r="E53" t="str">
        <f>IFERROR(VLOOKUP($B53,board!$A:$T,19,FALSE), "")</f>
        <v>HM</v>
      </c>
      <c r="F53">
        <f>IFERROR(VLOOKUP($B53,board!$A:$T,20,FALSE), "")</f>
        <v>9</v>
      </c>
      <c r="G53" t="str">
        <f t="shared" si="2"/>
        <v/>
      </c>
      <c r="H53" s="14" t="str">
        <f t="shared" si="3"/>
        <v/>
      </c>
    </row>
    <row r="54" spans="1:8">
      <c r="A54">
        <v>53</v>
      </c>
      <c r="B54" t="s">
        <v>129</v>
      </c>
      <c r="C54" t="s">
        <v>410</v>
      </c>
      <c r="D54" t="str">
        <f>IF(OR(E54="HM", E54="-"),"", IFERROR(VLOOKUP($B54,board!$A:$T,2,FALSE), ""))</f>
        <v>PG</v>
      </c>
      <c r="E54">
        <f>IFERROR(VLOOKUP($B54,board!$A:$T,19,FALSE), "")</f>
        <v>41</v>
      </c>
      <c r="F54">
        <f>IFERROR(VLOOKUP($B54,board!$A:$T,20,FALSE), "")</f>
        <v>6</v>
      </c>
      <c r="G54">
        <f t="shared" si="2"/>
        <v>12</v>
      </c>
      <c r="H54" s="14">
        <f t="shared" si="3"/>
        <v>0.23364485981308411</v>
      </c>
    </row>
    <row r="55" spans="1:8">
      <c r="A55">
        <v>54</v>
      </c>
      <c r="B55" t="s">
        <v>136</v>
      </c>
      <c r="C55" t="s">
        <v>451</v>
      </c>
      <c r="D55" t="str">
        <f>IF(OR(E55="HM", E55="-"),"", IFERROR(VLOOKUP($B55,board!$A:$T,2,FALSE), ""))</f>
        <v>SG</v>
      </c>
      <c r="E55">
        <f>IFERROR(VLOOKUP($B55,board!$A:$T,19,FALSE), "")</f>
        <v>50</v>
      </c>
      <c r="F55">
        <f>IFERROR(VLOOKUP($B55,board!$A:$T,20,FALSE), "")</f>
        <v>8</v>
      </c>
      <c r="G55">
        <f t="shared" si="2"/>
        <v>4</v>
      </c>
      <c r="H55" s="14">
        <f t="shared" si="3"/>
        <v>8.2568807339449546E-2</v>
      </c>
    </row>
    <row r="56" spans="1:8">
      <c r="A56">
        <v>55</v>
      </c>
      <c r="B56" t="s">
        <v>448</v>
      </c>
      <c r="C56" t="s">
        <v>419</v>
      </c>
      <c r="D56" t="str">
        <f>IF(OR(E56="HM", E56="-"),"", IFERROR(VLOOKUP($B56,board!$A:$T,2,FALSE), ""))</f>
        <v/>
      </c>
      <c r="E56" t="str">
        <f>IFERROR(VLOOKUP($B56,board!$A:$T,19,FALSE), "")</f>
        <v>HM</v>
      </c>
      <c r="F56">
        <f>IFERROR(VLOOKUP($B56,board!$A:$T,20,FALSE), "")</f>
        <v>9</v>
      </c>
      <c r="G56" t="str">
        <f t="shared" si="2"/>
        <v/>
      </c>
      <c r="H56" s="14" t="str">
        <f t="shared" si="3"/>
        <v/>
      </c>
    </row>
    <row r="57" spans="1:8">
      <c r="A57">
        <v>56</v>
      </c>
      <c r="B57" t="s">
        <v>132</v>
      </c>
      <c r="C57" t="s">
        <v>404</v>
      </c>
      <c r="D57" t="str">
        <f>IF(OR(E57="HM", E57="-"),"", IFERROR(VLOOKUP($B57,board!$A:$T,2,FALSE), ""))</f>
        <v>PG</v>
      </c>
      <c r="E57">
        <f>IFERROR(VLOOKUP($B57,board!$A:$T,19,FALSE), "")</f>
        <v>32</v>
      </c>
      <c r="F57">
        <f>IFERROR(VLOOKUP($B57,board!$A:$T,20,FALSE), "")</f>
        <v>6</v>
      </c>
      <c r="G57">
        <f t="shared" si="2"/>
        <v>24</v>
      </c>
      <c r="H57" s="14">
        <f t="shared" si="3"/>
        <v>0.4336283185840708</v>
      </c>
    </row>
    <row r="58" spans="1:8">
      <c r="A58">
        <v>57</v>
      </c>
      <c r="B58" t="s">
        <v>10</v>
      </c>
      <c r="C58" t="s">
        <v>452</v>
      </c>
      <c r="D58" t="str">
        <f>IF(OR(E58="HM", E58="-"),"", IFERROR(VLOOKUP($B58,board!$A:$T,2,FALSE), ""))</f>
        <v>PF</v>
      </c>
      <c r="E58">
        <f>IFERROR(VLOOKUP($B58,board!$A:$T,19,FALSE), "")</f>
        <v>38</v>
      </c>
      <c r="F58">
        <f>IFERROR(VLOOKUP($B58,board!$A:$T,20,FALSE), "")</f>
        <v>6</v>
      </c>
      <c r="G58">
        <f t="shared" si="2"/>
        <v>19</v>
      </c>
      <c r="H58" s="14">
        <f t="shared" si="3"/>
        <v>0.33913043478260868</v>
      </c>
    </row>
    <row r="59" spans="1:8">
      <c r="A59">
        <v>58</v>
      </c>
      <c r="B59" t="s">
        <v>123</v>
      </c>
      <c r="C59" t="s">
        <v>421</v>
      </c>
      <c r="D59" t="str">
        <f>IF(OR(E59="HM", E59="-"),"", IFERROR(VLOOKUP($B59,board!$A:$T,2,FALSE), ""))</f>
        <v>PF</v>
      </c>
      <c r="E59">
        <f>IFERROR(VLOOKUP($B59,board!$A:$T,19,FALSE), "")</f>
        <v>30</v>
      </c>
      <c r="F59">
        <f>IFERROR(VLOOKUP($B59,board!$A:$T,20,FALSE), "")</f>
        <v>6</v>
      </c>
      <c r="G59">
        <f t="shared" si="2"/>
        <v>28</v>
      </c>
      <c r="H59" s="14">
        <f t="shared" si="3"/>
        <v>0.48717948717948717</v>
      </c>
    </row>
    <row r="60" spans="1:8">
      <c r="A60">
        <v>59</v>
      </c>
      <c r="B60" t="s">
        <v>256</v>
      </c>
      <c r="C60" t="s">
        <v>424</v>
      </c>
      <c r="D60" t="str">
        <f>IF(OR(E60="HM", E60="-"),"", IFERROR(VLOOKUP($B60,board!$A:$T,2,FALSE), ""))</f>
        <v>SG</v>
      </c>
      <c r="E60">
        <f>IFERROR(VLOOKUP($B60,board!$A:$T,19,FALSE), "")</f>
        <v>51</v>
      </c>
      <c r="F60">
        <f>IFERROR(VLOOKUP($B60,board!$A:$T,20,FALSE), "")</f>
        <v>8</v>
      </c>
      <c r="G60">
        <f t="shared" si="2"/>
        <v>8</v>
      </c>
      <c r="H60" s="14">
        <f t="shared" si="3"/>
        <v>0.14285714285714285</v>
      </c>
    </row>
    <row r="61" spans="1:8">
      <c r="A61">
        <v>60</v>
      </c>
      <c r="B61" t="s">
        <v>445</v>
      </c>
      <c r="C61" t="s">
        <v>430</v>
      </c>
      <c r="D61" t="str">
        <f>IF(OR(E61="HM", E61="-"),"", IFERROR(VLOOKUP($B61,board!$A:$T,2,FALSE), ""))</f>
        <v/>
      </c>
      <c r="E61" t="str">
        <f>IFERROR(VLOOKUP($B61,board!$A:$T,19,FALSE), "")</f>
        <v>HM</v>
      </c>
      <c r="F61">
        <f>IFERROR(VLOOKUP($B61,board!$A:$T,20,FALSE), "")</f>
        <v>9</v>
      </c>
      <c r="G61" t="str">
        <f t="shared" si="2"/>
        <v/>
      </c>
      <c r="H61" s="14" t="str">
        <f t="shared" si="3"/>
        <v/>
      </c>
    </row>
  </sheetData>
  <autoFilter ref="A1:H61" xr:uid="{3E38746A-E939-E743-968A-B5038E272255}">
    <sortState ref="A2:H61">
      <sortCondition ref="A1:A6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7"/>
  <sheetViews>
    <sheetView topLeftCell="A21" workbookViewId="0">
      <selection activeCell="J56" sqref="J56"/>
    </sheetView>
  </sheetViews>
  <sheetFormatPr baseColWidth="10" defaultRowHeight="16"/>
  <cols>
    <col min="1" max="1" width="22.33203125" bestFit="1" customWidth="1"/>
    <col min="2" max="2" width="7" bestFit="1" customWidth="1"/>
    <col min="3" max="3" width="14" customWidth="1"/>
    <col min="4" max="4" width="23.6640625" customWidth="1"/>
    <col min="5" max="5" width="22.6640625" customWidth="1"/>
    <col min="6" max="6" width="20.5" customWidth="1"/>
    <col min="7" max="7" width="19.1640625" style="7" bestFit="1" customWidth="1"/>
    <col min="8" max="8" width="18.5" customWidth="1"/>
    <col min="9" max="9" width="15.33203125" bestFit="1" customWidth="1"/>
    <col min="10" max="10" width="13.1640625" style="7" bestFit="1" customWidth="1"/>
  </cols>
  <sheetData>
    <row r="1" spans="1:10">
      <c r="A1" t="s">
        <v>69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s="7" t="s">
        <v>52</v>
      </c>
      <c r="H1" t="s">
        <v>53</v>
      </c>
      <c r="I1" t="s">
        <v>54</v>
      </c>
      <c r="J1" s="7" t="s">
        <v>55</v>
      </c>
    </row>
    <row r="2" spans="1:10">
      <c r="A2" t="s">
        <v>57</v>
      </c>
      <c r="B2" t="s">
        <v>58</v>
      </c>
      <c r="C2" s="1"/>
      <c r="G2" s="7" t="s">
        <v>63</v>
      </c>
      <c r="I2">
        <v>215</v>
      </c>
      <c r="J2" s="7" t="s">
        <v>64</v>
      </c>
    </row>
    <row r="3" spans="1:10">
      <c r="A3" t="s">
        <v>67</v>
      </c>
      <c r="B3" t="s">
        <v>58</v>
      </c>
      <c r="C3" s="1"/>
      <c r="G3" s="7" t="s">
        <v>63</v>
      </c>
      <c r="I3">
        <v>225</v>
      </c>
      <c r="J3" s="7" t="s">
        <v>68</v>
      </c>
    </row>
    <row r="4" spans="1:10">
      <c r="A4" t="s">
        <v>70</v>
      </c>
      <c r="B4" t="s">
        <v>58</v>
      </c>
      <c r="C4" s="1"/>
      <c r="G4" s="7" t="s">
        <v>71</v>
      </c>
      <c r="I4">
        <v>190</v>
      </c>
      <c r="J4" s="7" t="s">
        <v>72</v>
      </c>
    </row>
    <row r="5" spans="1:10">
      <c r="A5" t="s">
        <v>73</v>
      </c>
      <c r="B5" t="s">
        <v>74</v>
      </c>
      <c r="C5" s="1"/>
      <c r="G5" s="7" t="s">
        <v>68</v>
      </c>
      <c r="I5">
        <v>215</v>
      </c>
      <c r="J5" s="7" t="s">
        <v>68</v>
      </c>
    </row>
    <row r="6" spans="1:10">
      <c r="A6" t="s">
        <v>75</v>
      </c>
      <c r="B6" t="s">
        <v>76</v>
      </c>
      <c r="C6" s="1"/>
      <c r="G6" s="7" t="s">
        <v>68</v>
      </c>
      <c r="I6">
        <v>245</v>
      </c>
      <c r="J6" s="7" t="s">
        <v>77</v>
      </c>
    </row>
    <row r="7" spans="1:10">
      <c r="A7" t="s">
        <v>78</v>
      </c>
      <c r="B7" t="s">
        <v>76</v>
      </c>
      <c r="C7" s="1"/>
      <c r="G7" s="7" t="s">
        <v>77</v>
      </c>
      <c r="I7">
        <v>237</v>
      </c>
      <c r="J7" s="7" t="s">
        <v>79</v>
      </c>
    </row>
    <row r="8" spans="1:10">
      <c r="A8" t="s">
        <v>80</v>
      </c>
      <c r="B8" t="s">
        <v>74</v>
      </c>
      <c r="C8" s="1"/>
      <c r="G8" s="7" t="s">
        <v>71</v>
      </c>
      <c r="I8">
        <v>194</v>
      </c>
      <c r="J8" s="7" t="s">
        <v>72</v>
      </c>
    </row>
    <row r="9" spans="1:10">
      <c r="A9" t="s">
        <v>81</v>
      </c>
      <c r="B9" t="s">
        <v>58</v>
      </c>
      <c r="C9" s="1"/>
      <c r="G9" s="7" t="s">
        <v>82</v>
      </c>
      <c r="I9">
        <v>174</v>
      </c>
    </row>
    <row r="10" spans="1:10">
      <c r="A10" t="s">
        <v>83</v>
      </c>
      <c r="B10" t="s">
        <v>74</v>
      </c>
      <c r="C10" s="1"/>
      <c r="G10" s="7" t="s">
        <v>84</v>
      </c>
      <c r="I10">
        <v>225</v>
      </c>
      <c r="J10" s="7" t="s">
        <v>68</v>
      </c>
    </row>
    <row r="11" spans="1:10">
      <c r="A11" t="s">
        <v>85</v>
      </c>
      <c r="B11" t="s">
        <v>58</v>
      </c>
      <c r="C11" s="1"/>
      <c r="G11" s="7" t="s">
        <v>63</v>
      </c>
      <c r="I11">
        <v>175</v>
      </c>
      <c r="J11" s="7" t="s">
        <v>86</v>
      </c>
    </row>
    <row r="12" spans="1:10">
      <c r="A12" t="s">
        <v>87</v>
      </c>
      <c r="B12" t="s">
        <v>76</v>
      </c>
      <c r="G12" s="7" t="s">
        <v>68</v>
      </c>
      <c r="I12" s="7">
        <v>220</v>
      </c>
      <c r="J12" s="7" t="s">
        <v>88</v>
      </c>
    </row>
    <row r="13" spans="1:10">
      <c r="A13" t="s">
        <v>89</v>
      </c>
      <c r="B13" t="s">
        <v>76</v>
      </c>
      <c r="C13" s="1"/>
      <c r="G13" s="7" t="s">
        <v>90</v>
      </c>
      <c r="I13" s="7">
        <v>201</v>
      </c>
      <c r="J13" s="7" t="s">
        <v>91</v>
      </c>
    </row>
    <row r="14" spans="1:10">
      <c r="A14" t="s">
        <v>92</v>
      </c>
      <c r="B14" t="s">
        <v>58</v>
      </c>
      <c r="C14" s="1"/>
      <c r="G14" s="7" t="s">
        <v>93</v>
      </c>
      <c r="I14" s="7">
        <v>198</v>
      </c>
      <c r="J14" s="7" t="s">
        <v>84</v>
      </c>
    </row>
    <row r="15" spans="1:10">
      <c r="A15" t="s">
        <v>94</v>
      </c>
      <c r="B15" t="s">
        <v>58</v>
      </c>
      <c r="C15" s="1"/>
      <c r="G15" s="7" t="s">
        <v>93</v>
      </c>
      <c r="I15" s="7">
        <v>165</v>
      </c>
      <c r="J15" s="7" t="s">
        <v>84</v>
      </c>
    </row>
    <row r="16" spans="1:10">
      <c r="A16" t="s">
        <v>95</v>
      </c>
      <c r="B16" t="s">
        <v>58</v>
      </c>
      <c r="C16" s="1"/>
      <c r="G16" s="7" t="s">
        <v>93</v>
      </c>
      <c r="I16" s="7">
        <v>190</v>
      </c>
      <c r="J16" s="7" t="s">
        <v>96</v>
      </c>
    </row>
    <row r="17" spans="1:10">
      <c r="A17" t="s">
        <v>97</v>
      </c>
      <c r="B17" t="s">
        <v>74</v>
      </c>
      <c r="C17" s="1"/>
      <c r="G17" s="7" t="s">
        <v>86</v>
      </c>
      <c r="I17" s="7">
        <v>225</v>
      </c>
      <c r="J17" s="7" t="s">
        <v>88</v>
      </c>
    </row>
    <row r="18" spans="1:10">
      <c r="A18" t="s">
        <v>98</v>
      </c>
      <c r="B18" t="s">
        <v>76</v>
      </c>
      <c r="G18" s="7" t="s">
        <v>72</v>
      </c>
      <c r="I18" s="7">
        <v>225</v>
      </c>
      <c r="J18" s="7" t="s">
        <v>99</v>
      </c>
    </row>
    <row r="19" spans="1:10">
      <c r="A19" t="s">
        <v>100</v>
      </c>
      <c r="B19" t="s">
        <v>74</v>
      </c>
      <c r="G19" s="7" t="s">
        <v>86</v>
      </c>
      <c r="I19" s="7">
        <v>216</v>
      </c>
      <c r="J19" s="7" t="s">
        <v>72</v>
      </c>
    </row>
    <row r="20" spans="1:10">
      <c r="A20" t="s">
        <v>101</v>
      </c>
      <c r="B20" t="s">
        <v>74</v>
      </c>
      <c r="C20" s="1"/>
      <c r="G20" s="7" t="s">
        <v>84</v>
      </c>
      <c r="I20" s="7">
        <v>213</v>
      </c>
      <c r="J20" s="7" t="s">
        <v>72</v>
      </c>
    </row>
    <row r="21" spans="1:10">
      <c r="A21" t="s">
        <v>102</v>
      </c>
      <c r="B21" t="s">
        <v>74</v>
      </c>
      <c r="C21" s="1"/>
      <c r="G21" s="7" t="s">
        <v>84</v>
      </c>
      <c r="I21" s="7">
        <v>215</v>
      </c>
      <c r="J21" s="7" t="s">
        <v>63</v>
      </c>
    </row>
    <row r="22" spans="1:10">
      <c r="A22" t="s">
        <v>103</v>
      </c>
      <c r="B22" t="s">
        <v>58</v>
      </c>
      <c r="C22" s="1"/>
      <c r="G22" s="7" t="s">
        <v>63</v>
      </c>
      <c r="I22" s="7">
        <v>188</v>
      </c>
      <c r="J22" s="7" t="s">
        <v>71</v>
      </c>
    </row>
    <row r="23" spans="1:10">
      <c r="A23" t="s">
        <v>104</v>
      </c>
      <c r="B23" t="s">
        <v>74</v>
      </c>
      <c r="C23" s="1"/>
      <c r="G23" s="7" t="s">
        <v>71</v>
      </c>
      <c r="I23" s="7">
        <v>235</v>
      </c>
      <c r="J23" s="7" t="s">
        <v>77</v>
      </c>
    </row>
    <row r="24" spans="1:10">
      <c r="A24" t="s">
        <v>105</v>
      </c>
      <c r="B24" t="s">
        <v>58</v>
      </c>
      <c r="C24" s="1"/>
      <c r="G24" s="7" t="s">
        <v>71</v>
      </c>
      <c r="I24" s="7">
        <v>180</v>
      </c>
      <c r="J24" s="7" t="s">
        <v>86</v>
      </c>
    </row>
    <row r="25" spans="1:10">
      <c r="A25" t="s">
        <v>106</v>
      </c>
      <c r="B25" t="s">
        <v>76</v>
      </c>
      <c r="C25" s="1"/>
      <c r="G25" s="7" t="s">
        <v>68</v>
      </c>
      <c r="I25" s="7">
        <v>225</v>
      </c>
      <c r="J25" s="7" t="s">
        <v>107</v>
      </c>
    </row>
    <row r="26" spans="1:10">
      <c r="A26" t="s">
        <v>108</v>
      </c>
      <c r="B26" t="s">
        <v>74</v>
      </c>
      <c r="C26" s="1"/>
      <c r="G26" s="7" t="s">
        <v>84</v>
      </c>
      <c r="I26" s="7">
        <v>210</v>
      </c>
      <c r="J26" s="7" t="s">
        <v>109</v>
      </c>
    </row>
    <row r="27" spans="1:10">
      <c r="A27" t="s">
        <v>110</v>
      </c>
      <c r="B27" t="s">
        <v>74</v>
      </c>
      <c r="C27" s="1"/>
      <c r="G27" s="7" t="s">
        <v>68</v>
      </c>
      <c r="I27" s="7">
        <v>200</v>
      </c>
      <c r="J27" s="7" t="s">
        <v>111</v>
      </c>
    </row>
    <row r="28" spans="1:10">
      <c r="A28" t="s">
        <v>112</v>
      </c>
      <c r="B28" t="s">
        <v>58</v>
      </c>
      <c r="G28" s="7" t="s">
        <v>93</v>
      </c>
      <c r="I28" s="7">
        <v>190</v>
      </c>
      <c r="J28" s="7" t="s">
        <v>113</v>
      </c>
    </row>
    <row r="29" spans="1:10">
      <c r="A29" t="s">
        <v>114</v>
      </c>
      <c r="B29" t="s">
        <v>58</v>
      </c>
      <c r="C29" s="1"/>
      <c r="G29" s="7" t="s">
        <v>63</v>
      </c>
      <c r="I29" s="7">
        <v>180</v>
      </c>
    </row>
    <row r="30" spans="1:10">
      <c r="A30" t="s">
        <v>8</v>
      </c>
      <c r="B30" t="s">
        <v>58</v>
      </c>
      <c r="C30" s="1"/>
      <c r="G30" s="7" t="s">
        <v>82</v>
      </c>
      <c r="I30" s="7">
        <v>185</v>
      </c>
      <c r="J30" s="7" t="s">
        <v>115</v>
      </c>
    </row>
    <row r="31" spans="1:10">
      <c r="A31" t="s">
        <v>116</v>
      </c>
      <c r="B31" t="s">
        <v>76</v>
      </c>
      <c r="C31" s="1"/>
      <c r="G31" s="7" t="s">
        <v>68</v>
      </c>
      <c r="I31" s="7">
        <v>250</v>
      </c>
      <c r="J31" s="7" t="s">
        <v>117</v>
      </c>
    </row>
    <row r="32" spans="1:10">
      <c r="A32" t="s">
        <v>118</v>
      </c>
      <c r="B32" t="s">
        <v>58</v>
      </c>
      <c r="C32" s="1"/>
      <c r="G32" s="7" t="s">
        <v>119</v>
      </c>
      <c r="I32" s="7">
        <v>174</v>
      </c>
      <c r="J32" s="7" t="s">
        <v>120</v>
      </c>
    </row>
    <row r="33" spans="1:10">
      <c r="A33" t="s">
        <v>207</v>
      </c>
      <c r="B33" t="s">
        <v>58</v>
      </c>
      <c r="C33" s="1"/>
      <c r="G33" s="7" t="s">
        <v>119</v>
      </c>
      <c r="I33" s="7">
        <v>195</v>
      </c>
    </row>
    <row r="34" spans="1:10">
      <c r="A34" t="s">
        <v>121</v>
      </c>
      <c r="B34" t="s">
        <v>58</v>
      </c>
      <c r="C34" s="1"/>
      <c r="G34" s="7" t="s">
        <v>122</v>
      </c>
      <c r="I34" s="7">
        <v>185</v>
      </c>
      <c r="J34" s="7" t="s">
        <v>93</v>
      </c>
    </row>
    <row r="35" spans="1:10">
      <c r="A35" t="s">
        <v>11</v>
      </c>
      <c r="B35" t="s">
        <v>76</v>
      </c>
      <c r="C35" s="1"/>
      <c r="G35" s="7" t="s">
        <v>72</v>
      </c>
      <c r="I35" s="7">
        <v>220</v>
      </c>
      <c r="J35" s="7" t="s">
        <v>72</v>
      </c>
    </row>
    <row r="36" spans="1:10">
      <c r="A36" t="s">
        <v>123</v>
      </c>
      <c r="B36" t="s">
        <v>76</v>
      </c>
      <c r="C36" s="1"/>
      <c r="G36" s="7" t="s">
        <v>68</v>
      </c>
      <c r="I36" s="7">
        <v>220</v>
      </c>
      <c r="J36" s="7" t="s">
        <v>107</v>
      </c>
    </row>
    <row r="37" spans="1:10">
      <c r="A37" t="s">
        <v>124</v>
      </c>
      <c r="B37" t="s">
        <v>74</v>
      </c>
      <c r="C37" s="1"/>
      <c r="G37" s="7" t="s">
        <v>71</v>
      </c>
      <c r="I37" s="7">
        <v>216</v>
      </c>
      <c r="J37" s="7" t="s">
        <v>77</v>
      </c>
    </row>
    <row r="38" spans="1:10">
      <c r="A38" t="s">
        <v>125</v>
      </c>
      <c r="B38" t="s">
        <v>58</v>
      </c>
      <c r="C38" s="1"/>
      <c r="G38" s="7" t="s">
        <v>119</v>
      </c>
      <c r="I38" s="7">
        <v>195</v>
      </c>
      <c r="J38" s="7" t="s">
        <v>84</v>
      </c>
    </row>
    <row r="39" spans="1:10">
      <c r="A39" t="s">
        <v>126</v>
      </c>
      <c r="B39" t="s">
        <v>74</v>
      </c>
      <c r="C39" s="1"/>
      <c r="G39" s="7" t="s">
        <v>84</v>
      </c>
      <c r="I39" s="7">
        <v>215</v>
      </c>
    </row>
    <row r="40" spans="1:10">
      <c r="A40" t="s">
        <v>127</v>
      </c>
      <c r="B40" t="s">
        <v>58</v>
      </c>
      <c r="C40" s="1"/>
      <c r="G40" s="7" t="s">
        <v>93</v>
      </c>
      <c r="I40" s="7">
        <v>185</v>
      </c>
      <c r="J40" s="7" t="s">
        <v>119</v>
      </c>
    </row>
    <row r="41" spans="1:10">
      <c r="A41" t="s">
        <v>128</v>
      </c>
      <c r="B41" t="s">
        <v>58</v>
      </c>
      <c r="C41" s="1"/>
      <c r="G41" s="7" t="s">
        <v>93</v>
      </c>
      <c r="I41" s="7">
        <v>180</v>
      </c>
    </row>
    <row r="42" spans="1:10">
      <c r="A42" t="s">
        <v>129</v>
      </c>
      <c r="B42" t="s">
        <v>58</v>
      </c>
      <c r="C42" s="1"/>
      <c r="G42" s="7" t="s">
        <v>122</v>
      </c>
      <c r="I42" s="7">
        <v>185</v>
      </c>
      <c r="J42" s="7" t="s">
        <v>130</v>
      </c>
    </row>
    <row r="43" spans="1:10">
      <c r="A43" t="s">
        <v>131</v>
      </c>
      <c r="B43" t="s">
        <v>58</v>
      </c>
      <c r="G43" s="7" t="s">
        <v>82</v>
      </c>
      <c r="I43" s="7">
        <v>190</v>
      </c>
      <c r="J43" s="7" t="s">
        <v>119</v>
      </c>
    </row>
    <row r="44" spans="1:10">
      <c r="A44" t="s">
        <v>132</v>
      </c>
      <c r="B44" t="s">
        <v>58</v>
      </c>
      <c r="C44" s="1"/>
      <c r="G44" s="7" t="s">
        <v>93</v>
      </c>
      <c r="I44" s="7">
        <v>190</v>
      </c>
    </row>
    <row r="45" spans="1:10">
      <c r="A45" t="s">
        <v>133</v>
      </c>
      <c r="B45" t="s">
        <v>76</v>
      </c>
      <c r="C45" s="1"/>
      <c r="G45" s="7" t="s">
        <v>88</v>
      </c>
      <c r="I45" s="7">
        <v>240</v>
      </c>
      <c r="J45" s="7" t="s">
        <v>77</v>
      </c>
    </row>
    <row r="46" spans="1:10">
      <c r="A46" t="s">
        <v>134</v>
      </c>
      <c r="B46" t="s">
        <v>76</v>
      </c>
      <c r="C46" s="1"/>
      <c r="G46" s="7" t="s">
        <v>86</v>
      </c>
      <c r="I46" s="7">
        <v>245</v>
      </c>
      <c r="J46" s="7" t="s">
        <v>77</v>
      </c>
    </row>
    <row r="47" spans="1:10">
      <c r="A47" t="s">
        <v>135</v>
      </c>
      <c r="B47" t="s">
        <v>58</v>
      </c>
      <c r="C47" s="1"/>
      <c r="G47" s="7" t="s">
        <v>93</v>
      </c>
      <c r="I47" s="7">
        <v>188</v>
      </c>
      <c r="J47" s="7" t="s">
        <v>72</v>
      </c>
    </row>
    <row r="48" spans="1:10">
      <c r="A48" t="s">
        <v>136</v>
      </c>
      <c r="B48" t="s">
        <v>74</v>
      </c>
      <c r="C48" s="1"/>
      <c r="G48" s="7" t="s">
        <v>84</v>
      </c>
      <c r="I48" s="7">
        <v>193</v>
      </c>
      <c r="J48" s="7" t="s">
        <v>71</v>
      </c>
    </row>
    <row r="49" spans="1:10">
      <c r="A49" t="s">
        <v>137</v>
      </c>
      <c r="B49" t="s">
        <v>76</v>
      </c>
      <c r="C49" s="1"/>
      <c r="G49" s="7" t="s">
        <v>72</v>
      </c>
      <c r="I49" s="7">
        <v>240</v>
      </c>
      <c r="J49" s="7" t="s">
        <v>107</v>
      </c>
    </row>
    <row r="50" spans="1:10">
      <c r="A50" t="s">
        <v>138</v>
      </c>
      <c r="B50" t="s">
        <v>76</v>
      </c>
      <c r="C50" s="1"/>
      <c r="G50" s="7" t="s">
        <v>72</v>
      </c>
      <c r="I50" s="7">
        <v>270</v>
      </c>
      <c r="J50" s="7" t="s">
        <v>90</v>
      </c>
    </row>
    <row r="51" spans="1:10">
      <c r="A51" t="s">
        <v>139</v>
      </c>
      <c r="B51" t="s">
        <v>76</v>
      </c>
      <c r="C51" s="1"/>
      <c r="G51" s="7" t="s">
        <v>90</v>
      </c>
      <c r="I51" s="7">
        <v>270</v>
      </c>
      <c r="J51" s="7" t="s">
        <v>140</v>
      </c>
    </row>
    <row r="52" spans="1:10">
      <c r="A52" t="s">
        <v>256</v>
      </c>
      <c r="B52" t="s">
        <v>58</v>
      </c>
      <c r="C52" s="1"/>
      <c r="G52" s="7" t="s">
        <v>63</v>
      </c>
      <c r="I52" s="7">
        <v>195</v>
      </c>
    </row>
    <row r="53" spans="1:10">
      <c r="A53" t="s">
        <v>255</v>
      </c>
      <c r="B53" t="s">
        <v>58</v>
      </c>
      <c r="C53" s="1"/>
      <c r="G53" s="7" t="s">
        <v>119</v>
      </c>
      <c r="I53" s="7">
        <v>205</v>
      </c>
      <c r="J53" s="7" t="s">
        <v>71</v>
      </c>
    </row>
    <row r="54" spans="1:10">
      <c r="A54" t="s">
        <v>9</v>
      </c>
      <c r="B54" t="s">
        <v>74</v>
      </c>
      <c r="C54" s="1"/>
      <c r="G54" s="7" t="s">
        <v>86</v>
      </c>
      <c r="I54" s="7">
        <v>225</v>
      </c>
      <c r="J54" s="7" t="s">
        <v>384</v>
      </c>
    </row>
    <row r="55" spans="1:10">
      <c r="A55" t="s">
        <v>10</v>
      </c>
      <c r="B55" t="s">
        <v>76</v>
      </c>
      <c r="C55" s="1"/>
      <c r="G55" s="7" t="s">
        <v>68</v>
      </c>
      <c r="I55" s="7">
        <v>250</v>
      </c>
      <c r="J55" s="7" t="s">
        <v>383</v>
      </c>
    </row>
    <row r="56" spans="1:10">
      <c r="A56" t="s">
        <v>390</v>
      </c>
      <c r="B56" t="s">
        <v>74</v>
      </c>
      <c r="C56" s="1"/>
      <c r="G56" s="7" t="s">
        <v>84</v>
      </c>
      <c r="I56" s="7">
        <v>190</v>
      </c>
      <c r="J56" s="7" t="s">
        <v>86</v>
      </c>
    </row>
    <row r="57" spans="1:10">
      <c r="C57" s="1"/>
    </row>
    <row r="58" spans="1:10">
      <c r="C58" s="1"/>
    </row>
    <row r="59" spans="1:10">
      <c r="C59" s="1"/>
    </row>
    <row r="60" spans="1:10">
      <c r="C60" s="1"/>
    </row>
    <row r="61" spans="1:10">
      <c r="C61" s="1"/>
    </row>
    <row r="62" spans="1:10">
      <c r="C62" s="1"/>
    </row>
    <row r="63" spans="1:10">
      <c r="C63" s="1"/>
    </row>
    <row r="64" spans="1:10">
      <c r="C64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</sheetData>
  <autoFilter ref="A1:J1" xr:uid="{00000000-0009-0000-0000-000001000000}"/>
  <sortState ref="A2:J78">
    <sortCondition ref="A2:A78"/>
  </sortState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board</vt:lpstr>
      <vt:lpstr>actual</vt:lpstr>
      <vt:lpstr>ringer measureables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2019-06-19T17:04:52Z</dcterms:created>
  <dcterms:modified xsi:type="dcterms:W3CDTF">2020-11-21T04:18:38Z</dcterms:modified>
</cp:coreProperties>
</file>